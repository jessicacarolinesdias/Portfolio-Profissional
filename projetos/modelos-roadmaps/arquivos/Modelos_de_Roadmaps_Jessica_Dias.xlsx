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01_Estrategico" sheetId="2" state="visible" r:id="rId4"/>
    <sheet name="02_PMO" sheetId="3" state="visible" r:id="rId5"/>
    <sheet name="03_Implantacao" sheetId="4" state="visible" r:id="rId6"/>
    <sheet name="04_Processos" sheetId="5" state="visible" r:id="rId7"/>
    <sheet name="05_SGQ" sheetId="6" state="visible" r:id="rId8"/>
    <sheet name="06_AgoraDepoisFuturo" sheetId="7" state="visible" r:id="rId9"/>
    <sheet name="EX_01_Estrategico" sheetId="8" state="visible" r:id="rId10"/>
    <sheet name="EX_02_PMO" sheetId="9" state="visible" r:id="rId11"/>
    <sheet name="EX_03_Implantacao" sheetId="10" state="visible" r:id="rId12"/>
    <sheet name="EX_04_Processos" sheetId="11" state="visible" r:id="rId13"/>
    <sheet name="EX_05_SGQ" sheetId="12" state="visible" r:id="rId14"/>
    <sheet name="EX_06_AgoraDepoisFuturo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<sst xmlns="http://schemas.openxmlformats.org/spreadsheetml/2006/main" count="598" uniqueCount="242">
  <si>
    <t xml:space="preserve">Modelos de Roadmaps</t>
  </si>
  <si>
    <t xml:space="preserve">Jéssica Caroline da Silva Dias</t>
  </si>
  <si>
    <t xml:space="preserve">Seis formatos de planejamento</t>
  </si>
  <si>
    <t xml:space="preserve">Formato</t>
  </si>
  <si>
    <t xml:space="preserve">Quando usar</t>
  </si>
  <si>
    <t xml:space="preserve">Aba do modelo</t>
  </si>
  <si>
    <t xml:space="preserve">Aba do exemplo</t>
  </si>
  <si>
    <t xml:space="preserve">Estratégico</t>
  </si>
  <si>
    <t xml:space="preserve">Conectar objetivos, iniciativas e marcos de decisão.</t>
  </si>
  <si>
    <t xml:space="preserve">Portfólio PMO</t>
  </si>
  <si>
    <t xml:space="preserve">Acompanhar frentes, responsáveis, dependências e aceite.</t>
  </si>
  <si>
    <t xml:space="preserve">Implantação</t>
  </si>
  <si>
    <t xml:space="preserve">Organizar requisitos, preparação, UAT e estabilização.</t>
  </si>
  <si>
    <t xml:space="preserve">Processos</t>
  </si>
  <si>
    <t xml:space="preserve">Conectar AS IS, análise, TO BE, piloto e medição.</t>
  </si>
  <si>
    <t xml:space="preserve">Qualidade e SGQ</t>
  </si>
  <si>
    <t xml:space="preserve">Planejar documentação, análise de controles e revisão do SGQ.</t>
  </si>
  <si>
    <t xml:space="preserve">Agora, Depois, Futuro</t>
  </si>
  <si>
    <t xml:space="preserve">Organizar prioridades quando ainda há incerteza sobre datas.</t>
  </si>
  <si>
    <t xml:space="preserve">Como começar</t>
  </si>
  <si>
    <t xml:space="preserve">1. Escolha o formato.</t>
  </si>
  <si>
    <t xml:space="preserve">Abra o exemplo e duplique a aba de modelo.</t>
  </si>
  <si>
    <t xml:space="preserve">2. Preencha o planejamento.</t>
  </si>
  <si>
    <t xml:space="preserve">Defina responsáveis, datas, dependências e critérios de aceite.</t>
  </si>
  <si>
    <t xml:space="preserve">3. Revise as escolhas.</t>
  </si>
  <si>
    <t xml:space="preserve">Use os menus de status e prioridade e acompanhe as pendências.</t>
  </si>
  <si>
    <t xml:space="preserve">4. Atualize o roadmap.</t>
  </si>
  <si>
    <t xml:space="preserve">Altere as entradas amarelas; a escala e as barras usam fórmulas.</t>
  </si>
  <si>
    <t xml:space="preserve">Dados dos exemplos</t>
  </si>
  <si>
    <t xml:space="preserve">Cenários fictícios de 2027, criados para demonstrar os modelos.</t>
  </si>
  <si>
    <t xml:space="preserve">Uso das dependências</t>
  </si>
  <si>
    <t xml:space="preserve">Referências informativas; mudanças não reagendam outras entregas.</t>
  </si>
  <si>
    <t xml:space="preserve">Modelo para preencher</t>
  </si>
  <si>
    <t xml:space="preserve">12 meses em quatro trimestres</t>
  </si>
  <si>
    <t xml:space="preserve">Data-base</t>
  </si>
  <si>
    <t xml:space="preserve">Data de revisão</t>
  </si>
  <si>
    <t xml:space="preserve">Amarelo: editar</t>
  </si>
  <si>
    <t xml:space="preserve">Cinza: cálculo</t>
  </si>
  <si>
    <t xml:space="preserve">12 linhas disponíveis</t>
  </si>
  <si>
    <t xml:space="preserve">Entrega ou iniciativa</t>
  </si>
  <si>
    <t xml:space="preserve">Responsável</t>
  </si>
  <si>
    <t xml:space="preserve">Início</t>
  </si>
  <si>
    <t xml:space="preserve">Fim</t>
  </si>
  <si>
    <t xml:space="preserve">Status</t>
  </si>
  <si>
    <t xml:space="preserve">Prioridade</t>
  </si>
  <si>
    <t xml:space="preserve">Dependência</t>
  </si>
  <si>
    <t xml:space="preserve">Resultado esperado</t>
  </si>
  <si>
    <t xml:space="preserve">Marco de aceite</t>
  </si>
  <si>
    <t xml:space="preserve">Pendência</t>
  </si>
  <si>
    <t xml:space="preserve">T1</t>
  </si>
  <si>
    <t xml:space="preserve">T2</t>
  </si>
  <si>
    <t xml:space="preserve">T3</t>
  </si>
  <si>
    <t xml:space="preserve">T4</t>
  </si>
  <si>
    <t xml:space="preserve">Uso do modelo</t>
  </si>
  <si>
    <t xml:space="preserve">1. Defina a data-base e a data de revisão.</t>
  </si>
  <si>
    <t xml:space="preserve">2. Preencha entregas, datas e responsáveis.</t>
  </si>
  <si>
    <t xml:space="preserve">3. Atualize status e critérios de aceite.</t>
  </si>
  <si>
    <t xml:space="preserve">Dependências não reagendam outras entregas.</t>
  </si>
  <si>
    <t xml:space="preserve">Seis meses com visão de entregas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</si>
  <si>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</si>
  <si>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</si>
  <si>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</si>
  <si>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</si>
  <si>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</si>
  <si>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</si>
  <si>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12 semanas de preparação e transição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</si>
  <si>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</si>
  <si>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</si>
  <si>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</si>
  <si>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</si>
  <si>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</si>
  <si>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</si>
  <si>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</si>
  <si>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</si>
  <si>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</si>
  <si>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</si>
  <si>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</si>
  <si>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</si>
  <si>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90 dias em seis ciclos de 15 dias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</si>
  <si>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</si>
  <si>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</si>
  <si>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</si>
  <si>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</si>
  <si>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</si>
  <si>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</si>
  <si>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Seis meses de organização e revisão</t>
  </si>
  <si>
    <t xml:space="preserve">Três horizontes sem prazo fixo</t>
  </si>
  <si>
    <t xml:space="preserve">Última revisão</t>
  </si>
  <si>
    <t xml:space="preserve">Próxima revisão</t>
  </si>
  <si>
    <t xml:space="preserve">Horizonte</t>
  </si>
  <si>
    <t xml:space="preserve">Revisar em</t>
  </si>
  <si>
    <t xml:space="preserve">Agora</t>
  </si>
  <si>
    <t xml:space="preserve">Depois</t>
  </si>
  <si>
    <t xml:space="preserve">Futuro</t>
  </si>
  <si>
    <t xml:space="preserve">1. Defina a revisão do planejamento.</t>
  </si>
  <si>
    <t xml:space="preserve">2. Escolha Agora, Depois ou Futuro.</t>
  </si>
  <si>
    <t xml:space="preserve">3. Registre responsável, resultado e aceite.</t>
  </si>
  <si>
    <t xml:space="preserve">Horizontes não representam datas prometidas.</t>
  </si>
  <si>
    <t xml:space="preserve">Exemplo fictício</t>
  </si>
  <si>
    <t xml:space="preserve">Dados e datas fictícios</t>
  </si>
  <si>
    <t xml:space="preserve">S01 - Definir prioridades</t>
  </si>
  <si>
    <t xml:space="preserve">Planejamento</t>
  </si>
  <si>
    <t xml:space="preserve">Concluído</t>
  </si>
  <si>
    <t xml:space="preserve">Alta</t>
  </si>
  <si>
    <t xml:space="preserve">Objetivos compartilhados</t>
  </si>
  <si>
    <t xml:space="preserve">Prioridades aprovadas</t>
  </si>
  <si>
    <t xml:space="preserve">S02 - Estruturar o portfólio</t>
  </si>
  <si>
    <t xml:space="preserve">PMO</t>
  </si>
  <si>
    <t xml:space="preserve">Em andamento</t>
  </si>
  <si>
    <t xml:space="preserve">S01</t>
  </si>
  <si>
    <t xml:space="preserve">Iniciativas organizadas</t>
  </si>
  <si>
    <t xml:space="preserve">Responsáveis e marcos definidos</t>
  </si>
  <si>
    <t xml:space="preserve">S03 - Melhorar a jornada CRM</t>
  </si>
  <si>
    <t xml:space="preserve">Negócio</t>
  </si>
  <si>
    <t xml:space="preserve">A fazer</t>
  </si>
  <si>
    <t xml:space="preserve">S02</t>
  </si>
  <si>
    <t xml:space="preserve">Jornada redesenhada</t>
  </si>
  <si>
    <t xml:space="preserve">Proposta de jornada validada</t>
  </si>
  <si>
    <t xml:space="preserve">S04 - Organizar indicadores</t>
  </si>
  <si>
    <t xml:space="preserve">Dados</t>
  </si>
  <si>
    <t xml:space="preserve">Média</t>
  </si>
  <si>
    <t xml:space="preserve">Leitura gerencial consistente</t>
  </si>
  <si>
    <t xml:space="preserve">Definições e fontes registradas</t>
  </si>
  <si>
    <t xml:space="preserve">S05 - Revisar a estratégia</t>
  </si>
  <si>
    <t xml:space="preserve">Gestão</t>
  </si>
  <si>
    <t xml:space="preserve">S03, S04</t>
  </si>
  <si>
    <t xml:space="preserve">Decisões para o próximo ciclo</t>
  </si>
  <si>
    <t xml:space="preserve">Revisão do ciclo documentada</t>
  </si>
  <si>
    <t xml:space="preserve">P01 - Priorizar iniciativas</t>
  </si>
  <si>
    <t xml:space="preserve">PMO e gestão</t>
  </si>
  <si>
    <t xml:space="preserve">Portfólio priorizado</t>
  </si>
  <si>
    <t xml:space="preserve">Critérios e prioridades aprovados</t>
  </si>
  <si>
    <t xml:space="preserve">P02 - Estruturar a governança</t>
  </si>
  <si>
    <t xml:space="preserve">P01</t>
  </si>
  <si>
    <t xml:space="preserve">Rotina de acompanhamento</t>
  </si>
  <si>
    <t xml:space="preserve">Papéis e ritos definidos</t>
  </si>
  <si>
    <t xml:space="preserve">P03 - Consolidar riscos e planos</t>
  </si>
  <si>
    <t xml:space="preserve">Lideranças</t>
  </si>
  <si>
    <t xml:space="preserve">P02</t>
  </si>
  <si>
    <t xml:space="preserve">Pendências rastreáveis</t>
  </si>
  <si>
    <t xml:space="preserve">Riscos com ações e responsáveis</t>
  </si>
  <si>
    <t xml:space="preserve">P04 - Padronizar relatórios OPR</t>
  </si>
  <si>
    <t xml:space="preserve">PMO e dados</t>
  </si>
  <si>
    <t xml:space="preserve">Status com leitura consistente</t>
  </si>
  <si>
    <t xml:space="preserve">Modelo de relatório revisado</t>
  </si>
  <si>
    <t xml:space="preserve">P05 - Avaliar as entregas</t>
  </si>
  <si>
    <t xml:space="preserve">P03, P04</t>
  </si>
  <si>
    <t xml:space="preserve">Decisões para o ciclo seguinte</t>
  </si>
  <si>
    <t xml:space="preserve">Lições aprendidas registradas</t>
  </si>
  <si>
    <t xml:space="preserve">I01 - Definir escopo e requisitos</t>
  </si>
  <si>
    <t xml:space="preserve">Negócio e TI</t>
  </si>
  <si>
    <t xml:space="preserve">Requisitos compartilhados</t>
  </si>
  <si>
    <t xml:space="preserve">Escopo e aceite aprovados</t>
  </si>
  <si>
    <t xml:space="preserve">I02 - Preparar a solução</t>
  </si>
  <si>
    <t xml:space="preserve">TI e fornecedor</t>
  </si>
  <si>
    <t xml:space="preserve">I01</t>
  </si>
  <si>
    <t xml:space="preserve">Ambiente de homologação</t>
  </si>
  <si>
    <t xml:space="preserve">Configuração pronta para teste</t>
  </si>
  <si>
    <t xml:space="preserve">I03 - Realizar homologação UAT</t>
  </si>
  <si>
    <t xml:space="preserve">Usuários-chave</t>
  </si>
  <si>
    <t xml:space="preserve">I02</t>
  </si>
  <si>
    <t xml:space="preserve">Requisitos verificados</t>
  </si>
  <si>
    <t xml:space="preserve">Casos críticos com aceite</t>
  </si>
  <si>
    <t xml:space="preserve">I04 - Preparar a transição</t>
  </si>
  <si>
    <t xml:space="preserve">Operação</t>
  </si>
  <si>
    <t xml:space="preserve">I03</t>
  </si>
  <si>
    <t xml:space="preserve">Operação preparada</t>
  </si>
  <si>
    <t xml:space="preserve">Treinamento e plano de retorno</t>
  </si>
  <si>
    <t xml:space="preserve">I05 - Go-Live e estabilização</t>
  </si>
  <si>
    <t xml:space="preserve">I03, I04</t>
  </si>
  <si>
    <t xml:space="preserve">Entrada em operação</t>
  </si>
  <si>
    <t xml:space="preserve">Critérios de estabilização atendidos</t>
  </si>
  <si>
    <t xml:space="preserve">M01 - Levantar o processo AS IS</t>
  </si>
  <si>
    <t xml:space="preserve">Fluxo atual compreendido</t>
  </si>
  <si>
    <t xml:space="preserve">Mapa revisado com a área</t>
  </si>
  <si>
    <t xml:space="preserve">M02 - Analisar pontos críticos</t>
  </si>
  <si>
    <t xml:space="preserve">Processos e área</t>
  </si>
  <si>
    <t xml:space="preserve">M01</t>
  </si>
  <si>
    <t xml:space="preserve">Problemas priorizados</t>
  </si>
  <si>
    <t xml:space="preserve">Causas e prioridades registradas</t>
  </si>
  <si>
    <t xml:space="preserve">M03 - Desenhar o processo TO BE</t>
  </si>
  <si>
    <t xml:space="preserve">M02</t>
  </si>
  <si>
    <t xml:space="preserve">Fluxo futuro proposto</t>
  </si>
  <si>
    <t xml:space="preserve">Fluxo e controles validados</t>
  </si>
  <si>
    <t xml:space="preserve">M04 - Executar um piloto</t>
  </si>
  <si>
    <t xml:space="preserve">Área responsável</t>
  </si>
  <si>
    <t xml:space="preserve">M03</t>
  </si>
  <si>
    <t xml:space="preserve">Proposta testada</t>
  </si>
  <si>
    <t xml:space="preserve">Observações do piloto registradas</t>
  </si>
  <si>
    <t xml:space="preserve">M05 - Medir e padronizar</t>
  </si>
  <si>
    <t xml:space="preserve">Qualidade e área</t>
  </si>
  <si>
    <t xml:space="preserve">M04</t>
  </si>
  <si>
    <t xml:space="preserve">Acompanhamento definido</t>
  </si>
  <si>
    <t xml:space="preserve">Indicador, fonte e rotina definidos</t>
  </si>
  <si>
    <t xml:space="preserve">Q01 - Diagnosticar documentos</t>
  </si>
  <si>
    <t xml:space="preserve">Qualidade</t>
  </si>
  <si>
    <t xml:space="preserve">Documentação inventariada</t>
  </si>
  <si>
    <t xml:space="preserve">Lista de documentos revisada</t>
  </si>
  <si>
    <t xml:space="preserve">Q02 - Padronizar identificadores</t>
  </si>
  <si>
    <t xml:space="preserve">Qualidade e áreas</t>
  </si>
  <si>
    <t xml:space="preserve">Q01</t>
  </si>
  <si>
    <t xml:space="preserve">Referências consistentes</t>
  </si>
  <si>
    <t xml:space="preserve">Regras de identificação aprovadas</t>
  </si>
  <si>
    <t xml:space="preserve">Q03 - Revisar POPs e controles</t>
  </si>
  <si>
    <t xml:space="preserve">Áreas responsáveis</t>
  </si>
  <si>
    <t xml:space="preserve">Q02</t>
  </si>
  <si>
    <t xml:space="preserve">Rotinas documentadas</t>
  </si>
  <si>
    <t xml:space="preserve">Conteúdo e responsáveis revisados</t>
  </si>
  <si>
    <t xml:space="preserve">Q04 - Simular uma revisão interna</t>
  </si>
  <si>
    <t xml:space="preserve">Equipe de revisão</t>
  </si>
  <si>
    <t xml:space="preserve">Q03</t>
  </si>
  <si>
    <t xml:space="preserve">Oportunidades identificadas</t>
  </si>
  <si>
    <t xml:space="preserve">Observações e evidências registradas</t>
  </si>
  <si>
    <t xml:space="preserve">Q05 - Acompanhar melhorias</t>
  </si>
  <si>
    <t xml:space="preserve">Q04</t>
  </si>
  <si>
    <t xml:space="preserve">Ações acompanhadas</t>
  </si>
  <si>
    <t xml:space="preserve">Ações com responsáveis e prazos</t>
  </si>
  <si>
    <t xml:space="preserve">N01 - Revisar prioridades</t>
  </si>
  <si>
    <t xml:space="preserve">Prioridades compartilhadas</t>
  </si>
  <si>
    <t xml:space="preserve">Lista revisada com a gestão</t>
  </si>
  <si>
    <t xml:space="preserve">N02 - Consolidar indicadores</t>
  </si>
  <si>
    <t xml:space="preserve">Fonte e definição dos indicadores</t>
  </si>
  <si>
    <t xml:space="preserve">N03 - Preparar um piloto UAT</t>
  </si>
  <si>
    <t xml:space="preserve">N01</t>
  </si>
  <si>
    <t xml:space="preserve">Cenário de validação definido</t>
  </si>
  <si>
    <t xml:space="preserve">Casos e participantes definidos</t>
  </si>
  <si>
    <t xml:space="preserve">N04 - Refinar a capacitação</t>
  </si>
  <si>
    <t xml:space="preserve">Desenvolvimento</t>
  </si>
  <si>
    <t xml:space="preserve">Material de apoio preparado</t>
  </si>
  <si>
    <t xml:space="preserve">Conteúdo revisado</t>
  </si>
  <si>
    <t xml:space="preserve">N05 - Explorar automações</t>
  </si>
  <si>
    <t xml:space="preserve">Processos e TI</t>
  </si>
  <si>
    <t xml:space="preserve">Baixa</t>
  </si>
  <si>
    <t xml:space="preserve">N03</t>
  </si>
  <si>
    <t xml:space="preserve">Oportunidades analisadas</t>
  </si>
  <si>
    <t xml:space="preserve">Viabilidade e próximos passos</t>
  </si>
  <si>
    <t xml:space="preserve">N06 - Ampliar governança de dados</t>
  </si>
  <si>
    <t xml:space="preserve">Governança</t>
  </si>
  <si>
    <t xml:space="preserve">Pausado</t>
  </si>
  <si>
    <t xml:space="preserve">N02</t>
  </si>
  <si>
    <t xml:space="preserve">Responsabilidades organizadas</t>
  </si>
  <si>
    <t xml:space="preserve">Proposta de governança revisada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</si>
</sst>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dd/mm"/>
    <numFmt numFmtId="167" formatCode=";;;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193442"/>
      <name val="Arial"/>
      <family val="0"/>
      <charset val="1"/>
    </font>
    <font>
      <b val="true"/>
      <sz val="16"/>
      <color rgb="FF173444"/>
      <name val="Arial"/>
      <family val="0"/>
      <charset val="1"/>
    </font>
    <font>
      <b val="true"/>
      <sz val="12"/>
      <color rgb="FF19344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B87"/>
      <name val="Arial"/>
      <family val="0"/>
      <charset val="1"/>
    </font>
    <font>
      <sz val="10"/>
      <color rgb="FF647985"/>
      <name val="Arial"/>
      <family val="0"/>
      <charset val="1"/>
    </font>
    <font>
      <b val="true"/>
      <sz val="10"/>
      <color rgb="FF193442"/>
      <name val="Arial"/>
      <family val="0"/>
      <charset val="1"/>
    </font>
    <font>
      <b val="true"/>
      <sz val="10"/>
      <color rgb="FF9D622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444"/>
        <bgColor rgb="FF193442"/>
      </patternFill>
    </fill>
    <fill>
      <patternFill patternType="solid">
        <fgColor rgb="FFFFFFFF"/>
        <bgColor rgb="FFF3F6F6"/>
      </patternFill>
    </fill>
    <fill>
      <patternFill patternType="solid">
        <fgColor rgb="FFF0F3F5"/>
        <bgColor rgb="FFF3F6F6"/>
      </patternFill>
    </fill>
    <fill>
      <patternFill patternType="solid">
        <fgColor rgb="FFFFF4D8"/>
        <bgColor rgb="FFFFF0D1"/>
      </patternFill>
    </fill>
    <fill>
      <patternFill patternType="solid">
        <fgColor rgb="FFF3F6F6"/>
        <bgColor rgb="FFF0F3F5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80">
    <dxf>
      <font>
        <color rgb="FF263D48"/>
      </font>
      <fill>
        <patternFill>
          <bgColor rgb="FFC5CDD1"/>
        </patternFill>
      </fill>
    </dxf>
    <dxf>
      <font>
        <color rgb="FFFFFFFF"/>
      </font>
      <fill>
        <patternFill>
          <bgColor rgb="FF008B87"/>
        </patternFill>
      </fill>
    </dxf>
    <dxf>
      <font>
        <color rgb="FFFFFFFF"/>
      </font>
      <fill>
        <patternFill>
          <bgColor rgb="FF3B7EA1"/>
        </patternFill>
      </fill>
    </dxf>
    <dxf>
      <font>
        <color rgb="FFFFFFFF"/>
      </font>
      <fill>
        <patternFill>
          <bgColor rgb="FF173444"/>
        </patternFill>
      </fill>
    </dxf>
    <dxf>
      <font>
        <color rgb="FFFFFFFF"/>
      </font>
      <fill>
        <patternFill>
          <bgColor rgb="FFB85A64"/>
        </patternFill>
      </fill>
    </dxf>
    <dxf>
      <font>
        <color rgb="FFFFFFFF"/>
      </font>
      <fill>
        <patternFill>
          <bgColor rgb="FFD89A3C"/>
        </patternFill>
      </fill>
    </dxf>
    <dxf>
      <fill>
        <patternFill>
          <bgColor rgb="FFC5CDD1"/>
        </patternFill>
      </fill>
    </dxf>
    <dxf>
      <fill>
        <patternFill>
          <bgColor rgb="FF008B87"/>
        </patternFill>
      </fill>
    </dxf>
    <dxf>
      <fill>
        <patternFill>
          <bgColor rgb="FF3B7EA1"/>
        </patternFill>
      </fill>
    </dxf>
    <dxf>
      <fill>
        <patternFill>
          <bgColor rgb="FF173444"/>
        </patternFill>
      </fill>
    </dxf>
    <dxf>
      <fill>
        <patternFill>
          <bgColor rgb="FFB85A64"/>
        </patternFill>
      </fill>
    </dxf>
    <dxf>
      <fill>
        <patternFill>
          <bgColor rgb="FFD89A3C"/>
        </patternFill>
      </fill>
    </dxf>
    <dxf>
      <fill>
        <patternFill>
          <bgColor rgb="FFC5CDD1"/>
        </patternFill>
      </fill>
    </dxf>
    <dxf>
      <font>
        <b val="1"/>
        <color rgb="FF9F3347"/>
      </font>
      <fill>
        <patternFill>
          <bgColor rgb="FFFCE4E7"/>
        </patternFill>
      </fill>
    </dxf>
    <dxf>
      <font>
        <color rgb="FF89570E"/>
      </font>
      <fill>
        <patternFill>
          <bgColor rgb="FFFFF0D1"/>
        </patternFill>
      </fill>
    </dxf>
    <dxf>
      <font>
        <color rgb="FF263D48"/>
      </font>
      <fill>
        <patternFill>
          <bgColor rgb="FFC5CDD1"/>
        </patternFill>
      </fill>
    </dxf>
    <dxf>
      <font>
        <color rgb="FFFFFFFF"/>
      </font>
      <fill>
        <patternFill>
          <bgColor rgb="FF008B87"/>
        </patternFill>
      </fill>
    </dxf>
    <dxf>
      <font>
        <color rgb="FFFFFFFF"/>
      </font>
      <fill>
        <patternFill>
          <bgColor rgb="FF3B7EA1"/>
        </patternFill>
      </fill>
    </dxf>
    <dxf>
      <font>
        <color rgb="FFFFFFFF"/>
      </font>
      <fill>
        <patternFill>
          <bgColor rgb="FF173444"/>
        </patternFill>
      </fill>
    </dxf>
    <dxf>
      <font>
        <color rgb="FFFFFFFF"/>
      </font>
      <fill>
        <patternFill>
          <bgColor rgb="FFB85A64"/>
        </patternFill>
      </fill>
    </dxf>
    <dxf>
      <font>
        <color rgb="FFFFFFFF"/>
      </font>
      <fill>
        <patternFill>
          <bgColor rgb="FFD89A3C"/>
        </patternFill>
      </fill>
    </dxf>
    <dxf>
      <fill>
        <patternFill>
          <bgColor rgb="FFC5CDD1"/>
        </patternFill>
      </fill>
    </dxf>
    <dxf>
      <fill>
        <patternFill>
          <bgColor rgb="FF008B87"/>
        </patternFill>
      </fill>
    </dxf>
    <dxf>
      <fill>
        <patternFill>
          <bgColor rgb="FF3B7EA1"/>
        </patternFill>
      </fill>
    </dxf>
    <dxf>
      <fill>
        <patternFill>
          <bgColor rgb="FF173444"/>
        </patternFill>
      </fill>
    </dxf>
    <dxf>
      <fill>
        <patternFill>
          <bgColor rgb="FFB85A64"/>
        </patternFill>
      </fill>
    </dxf>
    <dxf>
      <fill>
        <patternFill>
          <bgColor rgb="FFD89A3C"/>
        </patternFill>
      </fill>
    </dxf>
    <dxf>
      <fill>
        <patternFill>
          <bgColor rgb="FFC5CDD1"/>
        </patternFill>
      </fill>
    </dxf>
    <dxf>
      <font>
        <b val="1"/>
        <color rgb="FF9F3347"/>
      </font>
      <fill>
        <patternFill>
          <bgColor rgb="FFFCE4E7"/>
        </patternFill>
      </fill>
    </dxf>
    <dxf>
      <font>
        <color rgb="FF89570E"/>
      </font>
      <fill>
        <patternFill>
          <bgColor rgb="FFFFF0D1"/>
        </patternFill>
      </fill>
    </dxf>
    <dxf>
      <font>
        <color rgb="FF263D48"/>
      </font>
      <fill>
        <patternFill>
          <bgColor rgb="FFC5CDD1"/>
        </patternFill>
      </fill>
    </dxf>
    <dxf>
      <font>
        <color rgb="FFFFFFFF"/>
      </font>
      <fill>
        <patternFill>
          <bgColor rgb="FF008B87"/>
        </patternFill>
      </fill>
    </dxf>
    <dxf>
      <font>
        <color rgb="FFFFFFFF"/>
      </font>
      <fill>
        <patternFill>
          <bgColor rgb="FF3B7EA1"/>
        </patternFill>
      </fill>
    </dxf>
    <dxf>
      <font>
        <color rgb="FFFFFFFF"/>
      </font>
      <fill>
        <patternFill>
          <bgColor rgb="FF173444"/>
        </patternFill>
      </fill>
    </dxf>
    <dxf>
      <font>
        <color rgb="FFFFFFFF"/>
      </font>
      <fill>
        <patternFill>
          <bgColor rgb="FFB85A64"/>
        </patternFill>
      </fill>
    </dxf>
    <dxf>
      <font>
        <color rgb="FFFFFFFF"/>
      </font>
      <fill>
        <patternFill>
          <bgColor rgb="FFD89A3C"/>
        </patternFill>
      </fill>
    </dxf>
    <dxf>
      <fill>
        <patternFill>
          <bgColor rgb="FFC5CDD1"/>
        </patternFill>
      </fill>
    </dxf>
    <dxf>
      <fill>
        <patternFill>
          <bgColor rgb="FF008B87"/>
        </patternFill>
      </fill>
    </dxf>
    <dxf>
      <fill>
        <patternFill>
          <bgColor rgb="FF3B7EA1"/>
        </patternFill>
      </fill>
    </dxf>
    <dxf>
      <fill>
        <patternFill>
          <bgColor rgb="FF173444"/>
        </patternFill>
      </fill>
    </dxf>
    <dxf>
      <fill>
        <patternFill>
          <bgColor rgb="FFB85A64"/>
        </patternFill>
      </fill>
    </dxf>
    <dxf>
      <fill>
        <patternFill>
          <bgColor rgb="FFD89A3C"/>
        </patternFill>
      </fill>
    </dxf>
    <dxf>
      <fill>
        <patternFill>
          <bgColor rgb="FFC5CDD1"/>
        </patternFill>
      </fill>
    </dxf>
    <dxf>
      <font>
        <b val="1"/>
        <color rgb="FF9F3347"/>
      </font>
      <fill>
        <patternFill>
          <bgColor rgb="FFFCE4E7"/>
        </patternFill>
      </fill>
    </dxf>
    <dxf>
      <font>
        <color rgb="FF89570E"/>
      </font>
      <fill>
        <patternFill>
          <bgColor rgb="FFFFF0D1"/>
        </patternFill>
      </fill>
    </dxf>
    <dxf>
      <font>
        <color rgb="FF263D48"/>
      </font>
      <fill>
        <patternFill>
          <bgColor rgb="FFC5CDD1"/>
        </patternFill>
      </fill>
    </dxf>
    <dxf>
      <font>
        <color rgb="FFFFFFFF"/>
      </font>
      <fill>
        <patternFill>
          <bgColor rgb="FF008B87"/>
        </patternFill>
      </fill>
    </dxf>
    <dxf>
      <font>
        <color rgb="FFFFFFFF"/>
      </font>
      <fill>
        <patternFill>
          <bgColor rgb="FF3B7EA1"/>
        </patternFill>
      </fill>
    </dxf>
    <dxf>
      <font>
        <color rgb="FFFFFFFF"/>
      </font>
      <fill>
        <patternFill>
          <bgColor rgb="FF173444"/>
        </patternFill>
      </fill>
    </dxf>
    <dxf>
      <font>
        <color rgb="FFFFFFFF"/>
      </font>
      <fill>
        <patternFill>
          <bgColor rgb="FFB85A64"/>
        </patternFill>
      </fill>
    </dxf>
    <dxf>
      <font>
        <color rgb="FFFFFFFF"/>
      </font>
      <fill>
        <patternFill>
          <bgColor rgb="FFD89A3C"/>
        </patternFill>
      </fill>
    </dxf>
    <dxf>
      <fill>
        <patternFill>
          <bgColor rgb="FFC5CDD1"/>
        </patternFill>
      </fill>
    </dxf>
    <dxf>
      <fill>
        <patternFill>
          <bgColor rgb="FF008B87"/>
        </patternFill>
      </fill>
    </dxf>
    <dxf>
      <fill>
        <patternFill>
          <bgColor rgb="FF3B7EA1"/>
        </patternFill>
      </fill>
    </dxf>
    <dxf>
      <fill>
        <patternFill>
          <bgColor rgb="FF173444"/>
        </patternFill>
      </fill>
    </dxf>
    <dxf>
      <fill>
        <patternFill>
          <bgColor rgb="FFB85A64"/>
        </patternFill>
      </fill>
    </dxf>
    <dxf>
      <fill>
        <patternFill>
          <bgColor rgb="FFD89A3C"/>
        </patternFill>
      </fill>
    </dxf>
    <dxf>
      <fill>
        <patternFill>
          <bgColor rgb="FFC5CDD1"/>
        </patternFill>
      </fill>
    </dxf>
    <dxf>
      <font>
        <b val="1"/>
        <color rgb="FF9F3347"/>
      </font>
      <fill>
        <patternFill>
          <bgColor rgb="FFFCE4E7"/>
        </patternFill>
      </fill>
    </dxf>
    <dxf>
      <font>
        <color rgb="FF89570E"/>
      </font>
      <fill>
        <patternFill>
          <bgColor rgb="FFFFF0D1"/>
        </patternFill>
      </fill>
    </dxf>
    <dxf>
      <font>
        <color rgb="FF263D48"/>
      </font>
      <fill>
        <patternFill>
          <bgColor rgb="FFC5CDD1"/>
        </patternFill>
      </fill>
    </dxf>
    <dxf>
      <font>
        <color rgb="FFFFFFFF"/>
      </font>
      <fill>
        <patternFill>
          <bgColor rgb="FF008B87"/>
        </patternFill>
      </fill>
    </dxf>
    <dxf>
      <font>
        <color rgb="FFFFFFFF"/>
      </font>
      <fill>
        <patternFill>
          <bgColor rgb="FF3B7EA1"/>
        </patternFill>
      </fill>
    </dxf>
    <dxf>
      <font>
        <color rgb="FFFFFFFF"/>
      </font>
      <fill>
        <patternFill>
          <bgColor rgb="FF173444"/>
        </patternFill>
      </fill>
    </dxf>
    <dxf>
      <font>
        <color rgb="FFFFFFFF"/>
      </font>
      <fill>
        <patternFill>
          <bgColor rgb="FFB85A64"/>
        </patternFill>
      </fill>
    </dxf>
    <dxf>
      <font>
        <color rgb="FFFFFFFF"/>
      </font>
      <fill>
        <patternFill>
          <bgColor rgb="FFD89A3C"/>
        </patternFill>
      </fill>
    </dxf>
    <dxf>
      <fill>
        <patternFill>
          <bgColor rgb="FFC5CDD1"/>
        </patternFill>
      </fill>
    </dxf>
    <dxf>
      <fill>
        <patternFill>
          <bgColor rgb="FF008B87"/>
        </patternFill>
      </fill>
    </dxf>
    <dxf>
      <fill>
        <patternFill>
          <bgColor rgb="FF3B7EA1"/>
        </patternFill>
      </fill>
    </dxf>
    <dxf>
      <fill>
        <patternFill>
          <bgColor rgb="FF173444"/>
        </patternFill>
      </fill>
    </dxf>
    <dxf>
      <fill>
        <patternFill>
          <bgColor rgb="FFB85A64"/>
        </patternFill>
      </fill>
    </dxf>
    <dxf>
      <fill>
        <patternFill>
          <bgColor rgb="FFD89A3C"/>
        </patternFill>
      </fill>
    </dxf>
    <dxf>
      <fill>
        <patternFill>
          <bgColor rgb="FFC5CDD1"/>
        </patternFill>
      </fill>
    </dxf>
    <dxf>
      <font>
        <b val="1"/>
        <color rgb="FF9F3347"/>
      </font>
      <fill>
        <patternFill>
          <bgColor rgb="FFFCE4E7"/>
        </patternFill>
      </fill>
    </dxf>
    <dxf>
      <font>
        <color rgb="FF89570E"/>
      </font>
      <fill>
        <patternFill>
          <bgColor rgb="FFFFF0D1"/>
        </patternFill>
      </fill>
    </dxf>
    <dxf>
      <font>
        <color rgb="FF263D48"/>
      </font>
      <fill>
        <patternFill>
          <bgColor rgb="FFC5CDD1"/>
        </patternFill>
      </fill>
    </dxf>
    <dxf>
      <font>
        <color rgb="FFFFFFFF"/>
      </font>
      <fill>
        <patternFill>
          <bgColor rgb="FF008B87"/>
        </patternFill>
      </fill>
    </dxf>
    <dxf>
      <font>
        <color rgb="FFFFFFFF"/>
      </font>
      <fill>
        <patternFill>
          <bgColor rgb="FF3B7EA1"/>
        </patternFill>
      </fill>
    </dxf>
    <dxf>
      <font>
        <color rgb="FFFFFFFF"/>
      </font>
      <fill>
        <patternFill>
          <bgColor rgb="FF173444"/>
        </patternFill>
      </fill>
    </dxf>
    <dxf>
      <font>
        <color rgb="FFFFFFFF"/>
      </font>
      <fill>
        <patternFill>
          <bgColor rgb="FFB85A64"/>
        </patternFill>
      </fill>
    </dxf>
    <dxf>
      <font>
        <color rgb="FFFFFFFF"/>
      </font>
      <fill>
        <patternFill>
          <bgColor rgb="FFD89A3C"/>
        </patternFill>
      </fill>
    </dxf>
    <dxf>
      <fill>
        <patternFill>
          <bgColor rgb="FFC5CDD1"/>
        </patternFill>
      </fill>
    </dxf>
    <dxf>
      <fill>
        <patternFill>
          <bgColor rgb="FF008B87"/>
        </patternFill>
      </fill>
    </dxf>
    <dxf>
      <fill>
        <patternFill>
          <bgColor rgb="FF3B7EA1"/>
        </patternFill>
      </fill>
    </dxf>
    <dxf>
      <fill>
        <patternFill>
          <bgColor rgb="FF173444"/>
        </patternFill>
      </fill>
    </dxf>
    <dxf>
      <fill>
        <patternFill>
          <bgColor rgb="FFB85A64"/>
        </patternFill>
      </fill>
    </dxf>
    <dxf>
      <fill>
        <patternFill>
          <bgColor rgb="FFD89A3C"/>
        </patternFill>
      </fill>
    </dxf>
    <dxf>
      <fill>
        <patternFill>
          <bgColor rgb="FFC5CDD1"/>
        </patternFill>
      </fill>
    </dxf>
    <dxf>
      <font>
        <b val="1"/>
        <color rgb="FF9F3347"/>
      </font>
      <fill>
        <patternFill>
          <bgColor rgb="FFFCE4E7"/>
        </patternFill>
      </fill>
    </dxf>
    <dxf>
      <font>
        <color rgb="FF89570E"/>
      </font>
      <fill>
        <patternFill>
          <bgColor rgb="FFFFF0D1"/>
        </patternFill>
      </fill>
    </dxf>
    <dxf>
      <font>
        <color rgb="FF263D48"/>
      </font>
      <fill>
        <patternFill>
          <bgColor rgb="FFC5CDD1"/>
        </patternFill>
      </fill>
    </dxf>
    <dxf>
      <font>
        <color rgb="FFFFFFFF"/>
      </font>
      <fill>
        <patternFill>
          <bgColor rgb="FF008B87"/>
        </patternFill>
      </fill>
    </dxf>
    <dxf>
      <font>
        <color rgb="FFFFFFFF"/>
      </font>
      <fill>
        <patternFill>
          <bgColor rgb="FF3B7EA1"/>
        </patternFill>
      </fill>
    </dxf>
    <dxf>
      <font>
        <color rgb="FFFFFFFF"/>
      </font>
      <fill>
        <patternFill>
          <bgColor rgb="FF173444"/>
        </patternFill>
      </fill>
    </dxf>
    <dxf>
      <font>
        <color rgb="FFFFFFFF"/>
      </font>
      <fill>
        <patternFill>
          <bgColor rgb="FFB85A64"/>
        </patternFill>
      </fill>
    </dxf>
    <dxf>
      <font>
        <color rgb="FFFFFFFF"/>
      </font>
      <fill>
        <patternFill>
          <bgColor rgb="FFD89A3C"/>
        </patternFill>
      </fill>
    </dxf>
    <dxf>
      <fill>
        <patternFill>
          <bgColor rgb="FFC5CDD1"/>
        </patternFill>
      </fill>
    </dxf>
    <dxf>
      <fill>
        <patternFill>
          <bgColor rgb="FF008B87"/>
        </patternFill>
      </fill>
    </dxf>
    <dxf>
      <fill>
        <patternFill>
          <bgColor rgb="FF3B7EA1"/>
        </patternFill>
      </fill>
    </dxf>
    <dxf>
      <fill>
        <patternFill>
          <bgColor rgb="FF173444"/>
        </patternFill>
      </fill>
    </dxf>
    <dxf>
      <fill>
        <patternFill>
          <bgColor rgb="FFB85A64"/>
        </patternFill>
      </fill>
    </dxf>
    <dxf>
      <fill>
        <patternFill>
          <bgColor rgb="FFD89A3C"/>
        </patternFill>
      </fill>
    </dxf>
    <dxf>
      <fill>
        <patternFill>
          <bgColor rgb="FFC5CDD1"/>
        </patternFill>
      </fill>
    </dxf>
    <dxf>
      <font>
        <b val="1"/>
        <color rgb="FF9F3347"/>
      </font>
      <fill>
        <patternFill>
          <bgColor rgb="FFFCE4E7"/>
        </patternFill>
      </fill>
    </dxf>
    <dxf>
      <font>
        <color rgb="FF89570E"/>
      </font>
      <fill>
        <patternFill>
          <bgColor rgb="FFFFF0D1"/>
        </patternFill>
      </fill>
    </dxf>
    <dxf>
      <font>
        <color rgb="FF263D48"/>
      </font>
      <fill>
        <patternFill>
          <bgColor rgb="FFC5CDD1"/>
        </patternFill>
      </fill>
    </dxf>
    <dxf>
      <font>
        <color rgb="FFFFFFFF"/>
      </font>
      <fill>
        <patternFill>
          <bgColor rgb="FF008B87"/>
        </patternFill>
      </fill>
    </dxf>
    <dxf>
      <font>
        <color rgb="FFFFFFFF"/>
      </font>
      <fill>
        <patternFill>
          <bgColor rgb="FF3B7EA1"/>
        </patternFill>
      </fill>
    </dxf>
    <dxf>
      <font>
        <color rgb="FFFFFFFF"/>
      </font>
      <fill>
        <patternFill>
          <bgColor rgb="FF173444"/>
        </patternFill>
      </fill>
    </dxf>
    <dxf>
      <font>
        <color rgb="FFFFFFFF"/>
      </font>
      <fill>
        <patternFill>
          <bgColor rgb="FFB85A64"/>
        </patternFill>
      </fill>
    </dxf>
    <dxf>
      <font>
        <color rgb="FFFFFFFF"/>
      </font>
      <fill>
        <patternFill>
          <bgColor rgb="FFD89A3C"/>
        </patternFill>
      </fill>
    </dxf>
    <dxf>
      <fill>
        <patternFill>
          <bgColor rgb="FFC5CDD1"/>
        </patternFill>
      </fill>
    </dxf>
    <dxf>
      <fill>
        <patternFill>
          <bgColor rgb="FF008B87"/>
        </patternFill>
      </fill>
    </dxf>
    <dxf>
      <fill>
        <patternFill>
          <bgColor rgb="FF3B7EA1"/>
        </patternFill>
      </fill>
    </dxf>
    <dxf>
      <fill>
        <patternFill>
          <bgColor rgb="FF173444"/>
        </patternFill>
      </fill>
    </dxf>
    <dxf>
      <fill>
        <patternFill>
          <bgColor rgb="FFB85A64"/>
        </patternFill>
      </fill>
    </dxf>
    <dxf>
      <fill>
        <patternFill>
          <bgColor rgb="FFD89A3C"/>
        </patternFill>
      </fill>
    </dxf>
    <dxf>
      <fill>
        <patternFill>
          <bgColor rgb="FFC5CDD1"/>
        </patternFill>
      </fill>
    </dxf>
    <dxf>
      <font>
        <b val="1"/>
        <color rgb="FF9F3347"/>
      </font>
      <fill>
        <patternFill>
          <bgColor rgb="FFFCE4E7"/>
        </patternFill>
      </fill>
    </dxf>
    <dxf>
      <font>
        <color rgb="FF89570E"/>
      </font>
      <fill>
        <patternFill>
          <bgColor rgb="FFFFF0D1"/>
        </patternFill>
      </fill>
    </dxf>
    <dxf>
      <font>
        <color rgb="FF263D48"/>
      </font>
      <fill>
        <patternFill>
          <bgColor rgb="FFC5CDD1"/>
        </patternFill>
      </fill>
    </dxf>
    <dxf>
      <font>
        <color rgb="FFFFFFFF"/>
      </font>
      <fill>
        <patternFill>
          <bgColor rgb="FF008B87"/>
        </patternFill>
      </fill>
    </dxf>
    <dxf>
      <font>
        <color rgb="FFFFFFFF"/>
      </font>
      <fill>
        <patternFill>
          <bgColor rgb="FF3B7EA1"/>
        </patternFill>
      </fill>
    </dxf>
    <dxf>
      <font>
        <color rgb="FFFFFFFF"/>
      </font>
      <fill>
        <patternFill>
          <bgColor rgb="FF173444"/>
        </patternFill>
      </fill>
    </dxf>
    <dxf>
      <font>
        <color rgb="FFFFFFFF"/>
      </font>
      <fill>
        <patternFill>
          <bgColor rgb="FFB85A64"/>
        </patternFill>
      </fill>
    </dxf>
    <dxf>
      <font>
        <color rgb="FFFFFFFF"/>
      </font>
      <fill>
        <patternFill>
          <bgColor rgb="FFD89A3C"/>
        </patternFill>
      </fill>
    </dxf>
    <dxf>
      <fill>
        <patternFill>
          <bgColor rgb="FFC5CDD1"/>
        </patternFill>
      </fill>
    </dxf>
    <dxf>
      <fill>
        <patternFill>
          <bgColor rgb="FF008B87"/>
        </patternFill>
      </fill>
    </dxf>
    <dxf>
      <fill>
        <patternFill>
          <bgColor rgb="FF3B7EA1"/>
        </patternFill>
      </fill>
    </dxf>
    <dxf>
      <fill>
        <patternFill>
          <bgColor rgb="FF173444"/>
        </patternFill>
      </fill>
    </dxf>
    <dxf>
      <fill>
        <patternFill>
          <bgColor rgb="FFB85A64"/>
        </patternFill>
      </fill>
    </dxf>
    <dxf>
      <fill>
        <patternFill>
          <bgColor rgb="FFD89A3C"/>
        </patternFill>
      </fill>
    </dxf>
    <dxf>
      <fill>
        <patternFill>
          <bgColor rgb="FFC5CDD1"/>
        </patternFill>
      </fill>
    </dxf>
    <dxf>
      <font>
        <b val="1"/>
        <color rgb="FF9F3347"/>
      </font>
      <fill>
        <patternFill>
          <bgColor rgb="FFFCE4E7"/>
        </patternFill>
      </fill>
    </dxf>
    <dxf>
      <font>
        <color rgb="FF89570E"/>
      </font>
      <fill>
        <patternFill>
          <bgColor rgb="FFFFF0D1"/>
        </patternFill>
      </fill>
    </dxf>
    <dxf>
      <font>
        <color rgb="FF263D48"/>
      </font>
      <fill>
        <patternFill>
          <bgColor rgb="FFC5CDD1"/>
        </patternFill>
      </fill>
    </dxf>
    <dxf>
      <font>
        <color rgb="FFFFFFFF"/>
      </font>
      <fill>
        <patternFill>
          <bgColor rgb="FF008B87"/>
        </patternFill>
      </fill>
    </dxf>
    <dxf>
      <font>
        <color rgb="FFFFFFFF"/>
      </font>
      <fill>
        <patternFill>
          <bgColor rgb="FF3B7EA1"/>
        </patternFill>
      </fill>
    </dxf>
    <dxf>
      <font>
        <color rgb="FFFFFFFF"/>
      </font>
      <fill>
        <patternFill>
          <bgColor rgb="FF173444"/>
        </patternFill>
      </fill>
    </dxf>
    <dxf>
      <font>
        <color rgb="FFFFFFFF"/>
      </font>
      <fill>
        <patternFill>
          <bgColor rgb="FFB85A64"/>
        </patternFill>
      </fill>
    </dxf>
    <dxf>
      <font>
        <color rgb="FFFFFFFF"/>
      </font>
      <fill>
        <patternFill>
          <bgColor rgb="FFD89A3C"/>
        </patternFill>
      </fill>
    </dxf>
    <dxf>
      <fill>
        <patternFill>
          <bgColor rgb="FFC5CDD1"/>
        </patternFill>
      </fill>
    </dxf>
    <dxf>
      <fill>
        <patternFill>
          <bgColor rgb="FF008B87"/>
        </patternFill>
      </fill>
    </dxf>
    <dxf>
      <fill>
        <patternFill>
          <bgColor rgb="FF3B7EA1"/>
        </patternFill>
      </fill>
    </dxf>
    <dxf>
      <fill>
        <patternFill>
          <bgColor rgb="FF173444"/>
        </patternFill>
      </fill>
    </dxf>
    <dxf>
      <fill>
        <patternFill>
          <bgColor rgb="FFB85A64"/>
        </patternFill>
      </fill>
    </dxf>
    <dxf>
      <fill>
        <patternFill>
          <bgColor rgb="FFD89A3C"/>
        </patternFill>
      </fill>
    </dxf>
    <dxf>
      <fill>
        <patternFill>
          <bgColor rgb="FFC5CDD1"/>
        </patternFill>
      </fill>
    </dxf>
    <dxf>
      <font>
        <b val="1"/>
        <color rgb="FF9F3347"/>
      </font>
      <fill>
        <patternFill>
          <bgColor rgb="FFFCE4E7"/>
        </patternFill>
      </fill>
    </dxf>
    <dxf>
      <font>
        <color rgb="FF89570E"/>
      </font>
      <fill>
        <patternFill>
          <bgColor rgb="FFFFF0D1"/>
        </patternFill>
      </fill>
    </dxf>
    <dxf>
      <font>
        <color rgb="FF263D48"/>
      </font>
      <fill>
        <patternFill>
          <bgColor rgb="FFC5CDD1"/>
        </patternFill>
      </fill>
    </dxf>
    <dxf>
      <font>
        <color rgb="FFFFFFFF"/>
      </font>
      <fill>
        <patternFill>
          <bgColor rgb="FF008B87"/>
        </patternFill>
      </fill>
    </dxf>
    <dxf>
      <font>
        <color rgb="FFFFFFFF"/>
      </font>
      <fill>
        <patternFill>
          <bgColor rgb="FF3B7EA1"/>
        </patternFill>
      </fill>
    </dxf>
    <dxf>
      <font>
        <color rgb="FFFFFFFF"/>
      </font>
      <fill>
        <patternFill>
          <bgColor rgb="FF173444"/>
        </patternFill>
      </fill>
    </dxf>
    <dxf>
      <font>
        <color rgb="FFFFFFFF"/>
      </font>
      <fill>
        <patternFill>
          <bgColor rgb="FFB85A64"/>
        </patternFill>
      </fill>
    </dxf>
    <dxf>
      <font>
        <color rgb="FFFFFFFF"/>
      </font>
      <fill>
        <patternFill>
          <bgColor rgb="FFD89A3C"/>
        </patternFill>
      </fill>
    </dxf>
    <dxf>
      <fill>
        <patternFill>
          <bgColor rgb="FFC5CDD1"/>
        </patternFill>
      </fill>
    </dxf>
    <dxf>
      <fill>
        <patternFill>
          <bgColor rgb="FF008B87"/>
        </patternFill>
      </fill>
    </dxf>
    <dxf>
      <fill>
        <patternFill>
          <bgColor rgb="FF3B7EA1"/>
        </patternFill>
      </fill>
    </dxf>
    <dxf>
      <fill>
        <patternFill>
          <bgColor rgb="FF173444"/>
        </patternFill>
      </fill>
    </dxf>
    <dxf>
      <fill>
        <patternFill>
          <bgColor rgb="FFB85A64"/>
        </patternFill>
      </fill>
    </dxf>
    <dxf>
      <fill>
        <patternFill>
          <bgColor rgb="FFD89A3C"/>
        </patternFill>
      </fill>
    </dxf>
    <dxf>
      <fill>
        <patternFill>
          <bgColor rgb="FFC5CDD1"/>
        </patternFill>
      </fill>
    </dxf>
    <dxf>
      <font>
        <b val="1"/>
        <color rgb="FF9F3347"/>
      </font>
      <fill>
        <patternFill>
          <bgColor rgb="FFFCE4E7"/>
        </patternFill>
      </fill>
    </dxf>
    <dxf>
      <font>
        <color rgb="FF89570E"/>
      </font>
      <fill>
        <patternFill>
          <bgColor rgb="FFFFF0D1"/>
        </patternFill>
      </fill>
    </dxf>
    <dxf>
      <font>
        <color rgb="FF263D48"/>
      </font>
      <fill>
        <patternFill>
          <bgColor rgb="FFC5CDD1"/>
        </patternFill>
      </fill>
    </dxf>
    <dxf>
      <font>
        <color rgb="FFFFFFFF"/>
      </font>
      <fill>
        <patternFill>
          <bgColor rgb="FF008B87"/>
        </patternFill>
      </fill>
    </dxf>
    <dxf>
      <font>
        <color rgb="FFFFFFFF"/>
      </font>
      <fill>
        <patternFill>
          <bgColor rgb="FF3B7EA1"/>
        </patternFill>
      </fill>
    </dxf>
    <dxf>
      <font>
        <color rgb="FFFFFFFF"/>
      </font>
      <fill>
        <patternFill>
          <bgColor rgb="FF173444"/>
        </patternFill>
      </fill>
    </dxf>
    <dxf>
      <font>
        <color rgb="FFFFFFFF"/>
      </font>
      <fill>
        <patternFill>
          <bgColor rgb="FFB85A64"/>
        </patternFill>
      </fill>
    </dxf>
    <dxf>
      <font>
        <color rgb="FFFFFFFF"/>
      </font>
      <fill>
        <patternFill>
          <bgColor rgb="FFD89A3C"/>
        </patternFill>
      </fill>
    </dxf>
    <dxf>
      <fill>
        <patternFill>
          <bgColor rgb="FFC5CDD1"/>
        </patternFill>
      </fill>
    </dxf>
    <dxf>
      <fill>
        <patternFill>
          <bgColor rgb="FF008B87"/>
        </patternFill>
      </fill>
    </dxf>
    <dxf>
      <fill>
        <patternFill>
          <bgColor rgb="FF3B7EA1"/>
        </patternFill>
      </fill>
    </dxf>
    <dxf>
      <fill>
        <patternFill>
          <bgColor rgb="FF173444"/>
        </patternFill>
      </fill>
    </dxf>
    <dxf>
      <fill>
        <patternFill>
          <bgColor rgb="FFB85A64"/>
        </patternFill>
      </fill>
    </dxf>
    <dxf>
      <fill>
        <patternFill>
          <bgColor rgb="FFD89A3C"/>
        </patternFill>
      </fill>
    </dxf>
    <dxf>
      <fill>
        <patternFill>
          <bgColor rgb="FFC5CDD1"/>
        </patternFill>
      </fill>
    </dxf>
    <dxf>
      <font>
        <b val="1"/>
        <color rgb="FF9F3347"/>
      </font>
      <fill>
        <patternFill>
          <bgColor rgb="FFFCE4E7"/>
        </patternFill>
      </fill>
    </dxf>
    <dxf>
      <font>
        <color rgb="FF89570E"/>
      </font>
      <fill>
        <patternFill>
          <bgColor rgb="FFFFF0D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D6224"/>
      <rgbColor rgb="FF800080"/>
      <rgbColor rgb="FF008B87"/>
      <rgbColor rgb="FFAEBBC0"/>
      <rgbColor rgb="FF808080"/>
      <rgbColor rgb="FF9999FF"/>
      <rgbColor rgb="FF9F3347"/>
      <rgbColor rgb="FFFFF4D8"/>
      <rgbColor rgb="FFF0F3F5"/>
      <rgbColor rgb="FF660066"/>
      <rgbColor rgb="FFFF8080"/>
      <rgbColor rgb="FF0066CC"/>
      <rgbColor rgb="FFC5CD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6"/>
      <rgbColor rgb="FFCCFFCC"/>
      <rgbColor rgb="FFFFF0D1"/>
      <rgbColor rgb="FF99CCFF"/>
      <rgbColor rgb="FFFF99CC"/>
      <rgbColor rgb="FFCC99FF"/>
      <rgbColor rgb="FFFCE4E7"/>
      <rgbColor rgb="FF3366FF"/>
      <rgbColor rgb="FF33CCCC"/>
      <rgbColor rgb="FF99CC00"/>
      <rgbColor rgb="FFFFCC00"/>
      <rgbColor rgb="FFD89A3C"/>
      <rgbColor rgb="FFFF6600"/>
      <rgbColor rgb="FF647985"/>
      <rgbColor rgb="FF969696"/>
      <rgbColor rgb="FF173444"/>
      <rgbColor rgb="FF3B7EA1"/>
      <rgbColor rgb="FF193442"/>
      <rgbColor rgb="FF333300"/>
      <rgbColor rgb="FF89570E"/>
      <rgbColor rgb="FFB85A64"/>
      <rgbColor rgb="FF333399"/>
      <rgbColor rgb="FF263D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444"/>
    <pageSetUpPr fitToPage="false"/>
  </sheetPr>
  <dimension ref="A1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9.44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34"/>
  </cols>
  <sheetData>
    <row r="1" customFormat="false" ht="21" hidden="false" customHeight="true" outlineLevel="0" collapsed="false">
      <c r="A1" s="1"/>
      <c r="B1" s="1"/>
      <c r="C1" s="1"/>
      <c r="D1" s="1"/>
      <c r="E1" s="1"/>
    </row>
    <row r="2" customFormat="false" ht="21" hidden="false" customHeight="true" outlineLevel="0" collapsed="false">
      <c r="A2" s="1"/>
      <c r="B2" s="2" t="s">
        <v>0</v>
      </c>
      <c r="C2" s="1"/>
      <c r="D2" s="1"/>
      <c r="E2" s="1"/>
    </row>
    <row r="3" customFormat="false" ht="21" hidden="false" customHeight="true" outlineLevel="0" collapsed="false">
      <c r="A3" s="1"/>
      <c r="B3" s="1" t="s">
        <v>1</v>
      </c>
      <c r="C3" s="1"/>
      <c r="D3" s="1"/>
      <c r="E3" s="1"/>
    </row>
    <row r="4" customFormat="false" ht="21" hidden="false" customHeight="true" outlineLevel="0" collapsed="false">
      <c r="A4" s="1"/>
      <c r="B4" s="1"/>
      <c r="C4" s="1"/>
      <c r="D4" s="1"/>
      <c r="E4" s="1"/>
    </row>
    <row r="5" customFormat="false" ht="21" hidden="false" customHeight="true" outlineLevel="0" collapsed="false">
      <c r="A5" s="1"/>
      <c r="B5" s="3" t="s">
        <v>2</v>
      </c>
      <c r="C5" s="1"/>
      <c r="D5" s="1"/>
      <c r="E5" s="1"/>
    </row>
    <row r="6" customFormat="false" ht="36" hidden="false" customHeight="true" outlineLevel="0" collapsed="false">
      <c r="A6" s="1"/>
      <c r="B6" s="4" t="s">
        <v>3</v>
      </c>
      <c r="C6" s="4" t="s">
        <v>4</v>
      </c>
      <c r="D6" s="4" t="s">
        <v>5</v>
      </c>
      <c r="E6" s="4" t="s">
        <v>6</v>
      </c>
    </row>
    <row r="7" customFormat="false" ht="48" hidden="false" customHeight="true" outlineLevel="0" collapsed="false">
      <c r="A7" s="1"/>
      <c r="B7" s="5" t="s">
        <v>7</v>
      </c>
      <c r="C7" s="5" t="s">
        <v>8</v>
      </c>
      <c r="D7" s="6" t="str">
        <f aca="false">HYPERLINK("#'01_Estrategico'!B2","01_Estrategico")</f>
        <v>01_Estrategico</v>
      </c>
      <c r="E7" s="6" t="str">
        <f aca="false">HYPERLINK("#'EX_01_Estrategico'!B2","EX_01_Estrategico")</f>
        <v>EX_01_Estrategico</v>
      </c>
    </row>
    <row r="8" customFormat="false" ht="48" hidden="false" customHeight="true" outlineLevel="0" collapsed="false">
      <c r="A8" s="1"/>
      <c r="B8" s="7" t="s">
        <v>9</v>
      </c>
      <c r="C8" s="7" t="s">
        <v>10</v>
      </c>
      <c r="D8" s="8" t="str">
        <f aca="false">HYPERLINK("#'02_PMO'!B2","02_PMO")</f>
        <v>02_PMO</v>
      </c>
      <c r="E8" s="8" t="str">
        <f aca="false">HYPERLINK("#'EX_02_PMO'!B2","EX_02_PMO")</f>
        <v>EX_02_PMO</v>
      </c>
    </row>
    <row r="9" customFormat="false" ht="48" hidden="false" customHeight="true" outlineLevel="0" collapsed="false">
      <c r="A9" s="1"/>
      <c r="B9" s="5" t="s">
        <v>11</v>
      </c>
      <c r="C9" s="5" t="s">
        <v>12</v>
      </c>
      <c r="D9" s="6" t="str">
        <f aca="false">HYPERLINK("#'03_Implantacao'!B2","03_Implantacao")</f>
        <v>03_Implantacao</v>
      </c>
      <c r="E9" s="6" t="str">
        <f aca="false">HYPERLINK("#'EX_03_Implantacao'!B2","EX_03_Implantacao")</f>
        <v>EX_03_Implantacao</v>
      </c>
    </row>
    <row r="10" customFormat="false" ht="48" hidden="false" customHeight="true" outlineLevel="0" collapsed="false">
      <c r="A10" s="1"/>
      <c r="B10" s="7" t="s">
        <v>13</v>
      </c>
      <c r="C10" s="7" t="s">
        <v>14</v>
      </c>
      <c r="D10" s="8" t="str">
        <f aca="false">HYPERLINK("#'04_Processos'!B2","04_Processos")</f>
        <v>04_Processos</v>
      </c>
      <c r="E10" s="8" t="str">
        <f aca="false">HYPERLINK("#'EX_04_Processos'!B2","EX_04_Processos")</f>
        <v>EX_04_Processos</v>
      </c>
    </row>
    <row r="11" customFormat="false" ht="48" hidden="false" customHeight="true" outlineLevel="0" collapsed="false">
      <c r="A11" s="1"/>
      <c r="B11" s="5" t="s">
        <v>15</v>
      </c>
      <c r="C11" s="5" t="s">
        <v>16</v>
      </c>
      <c r="D11" s="6" t="str">
        <f aca="false">HYPERLINK("#'05_SGQ'!B2","05_SGQ")</f>
        <v>05_SGQ</v>
      </c>
      <c r="E11" s="6" t="str">
        <f aca="false">HYPERLINK("#'EX_05_SGQ'!B2","EX_05_SGQ")</f>
        <v>EX_05_SGQ</v>
      </c>
    </row>
    <row r="12" customFormat="false" ht="48" hidden="false" customHeight="true" outlineLevel="0" collapsed="false">
      <c r="A12" s="1"/>
      <c r="B12" s="7" t="s">
        <v>17</v>
      </c>
      <c r="C12" s="7" t="s">
        <v>18</v>
      </c>
      <c r="D12" s="8" t="str">
        <f aca="false">HYPERLINK("#'06_AgoraDepoisFuturo'!B2","06_AgoraDepoisFuturo")</f>
        <v>06_AgoraDepoisFuturo</v>
      </c>
      <c r="E12" s="8" t="str">
        <f aca="false">HYPERLINK("#'EX_06_AgoraDepoisFuturo'!B2","EX_06_AgoraDepoisFuturo")</f>
        <v>EX_06_AgoraDepoisFuturo</v>
      </c>
    </row>
    <row r="13" customFormat="false" ht="21" hidden="false" customHeight="true" outlineLevel="0" collapsed="false">
      <c r="A13" s="1"/>
      <c r="B13" s="1"/>
      <c r="C13" s="1"/>
      <c r="D13" s="1"/>
      <c r="E13" s="1"/>
    </row>
    <row r="14" customFormat="false" ht="21" hidden="false" customHeight="true" outlineLevel="0" collapsed="false">
      <c r="A14" s="1"/>
      <c r="B14" s="1"/>
      <c r="C14" s="1"/>
      <c r="D14" s="1"/>
      <c r="E14" s="1"/>
    </row>
    <row r="15" customFormat="false" ht="21" hidden="false" customHeight="true" outlineLevel="0" collapsed="false">
      <c r="A15" s="1"/>
      <c r="B15" s="3" t="s">
        <v>19</v>
      </c>
      <c r="C15" s="1"/>
      <c r="D15" s="1"/>
      <c r="E15" s="1"/>
    </row>
    <row r="16" customFormat="false" ht="21" hidden="false" customHeight="true" outlineLevel="0" collapsed="false">
      <c r="A16" s="1"/>
      <c r="B16" s="1"/>
      <c r="C16" s="1"/>
      <c r="D16" s="1"/>
      <c r="E16" s="1"/>
    </row>
    <row r="17" customFormat="false" ht="21" hidden="false" customHeight="true" outlineLevel="0" collapsed="false">
      <c r="A17" s="1"/>
      <c r="B17" s="1" t="s">
        <v>20</v>
      </c>
      <c r="C17" s="1" t="s">
        <v>21</v>
      </c>
      <c r="D17" s="1"/>
      <c r="E17" s="1"/>
    </row>
    <row r="18" customFormat="false" ht="21" hidden="false" customHeight="true" outlineLevel="0" collapsed="false">
      <c r="A18" s="1"/>
      <c r="B18" s="1" t="s">
        <v>22</v>
      </c>
      <c r="C18" s="1" t="s">
        <v>23</v>
      </c>
      <c r="D18" s="1"/>
      <c r="E18" s="1"/>
    </row>
    <row r="19" customFormat="false" ht="21" hidden="false" customHeight="true" outlineLevel="0" collapsed="false">
      <c r="A19" s="1"/>
      <c r="B19" s="1" t="s">
        <v>24</v>
      </c>
      <c r="C19" s="1" t="s">
        <v>25</v>
      </c>
      <c r="D19" s="1"/>
      <c r="E19" s="1"/>
    </row>
    <row r="20" customFormat="false" ht="21" hidden="false" customHeight="true" outlineLevel="0" collapsed="false">
      <c r="A20" s="1"/>
      <c r="B20" s="1" t="s">
        <v>26</v>
      </c>
      <c r="C20" s="1" t="s">
        <v>27</v>
      </c>
      <c r="D20" s="1"/>
      <c r="E20" s="1"/>
    </row>
    <row r="21" customFormat="false" ht="21" hidden="false" customHeight="true" outlineLevel="0" collapsed="false">
      <c r="A21" s="1"/>
      <c r="B21" s="1"/>
      <c r="C21" s="1"/>
      <c r="D21" s="1"/>
      <c r="E21" s="1"/>
    </row>
    <row r="22" customFormat="false" ht="21" hidden="false" customHeight="true" outlineLevel="0" collapsed="false">
      <c r="A22" s="1"/>
      <c r="B22" s="9" t="s">
        <v>28</v>
      </c>
      <c r="C22" s="9" t="s">
        <v>29</v>
      </c>
      <c r="D22" s="1"/>
      <c r="E22" s="1"/>
    </row>
    <row r="23" customFormat="false" ht="21" hidden="false" customHeight="true" outlineLevel="0" collapsed="false">
      <c r="A23" s="1"/>
      <c r="B23" s="9" t="s">
        <v>30</v>
      </c>
      <c r="C23" s="9" t="s">
        <v>31</v>
      </c>
      <c r="D23" s="1"/>
      <c r="E23" s="1"/>
    </row>
    <row r="24" customFormat="false" ht="21" hidden="false" customHeight="true" outlineLevel="0" collapsed="false">
      <c r="A24" s="1"/>
      <c r="B24" s="1"/>
      <c r="C24" s="1"/>
      <c r="D24" s="1"/>
      <c r="E2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B87"/>
    <pageSetUpPr fitToPage="false"/>
  </sheetPr>
  <dimension ref="A1:P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7.22"/>
    <col collapsed="false" customWidth="true" hidden="false" outlineLevel="0" max="3" min="3" style="0" width="15"/>
    <col collapsed="false" customWidth="true" hidden="false" outlineLevel="0" max="5" min="4" style="0" width="11.78"/>
    <col collapsed="false" customWidth="true" hidden="false" outlineLevel="0" max="6" min="6" style="0" width="15"/>
    <col collapsed="false" customWidth="true" hidden="false" outlineLevel="0" max="7" min="7" style="0" width="11.78"/>
    <col collapsed="false" customWidth="true" hidden="false" outlineLevel="0" max="8" min="8" style="0" width="12.78"/>
    <col collapsed="false" customWidth="true" hidden="false" outlineLevel="0" max="9" min="9" style="0" width="26.11"/>
    <col collapsed="false" customWidth="true" hidden="false" outlineLevel="0" max="10" min="10" style="0" width="27.22"/>
    <col collapsed="false" customWidth="true" hidden="false" outlineLevel="0" max="11" min="11" style="0" width="18.34"/>
    <col collapsed="false" customWidth="true" hidden="false" outlineLevel="0" max="12" min="12" style="0" width="2"/>
    <col collapsed="false" customWidth="true" hidden="false" outlineLevel="0" max="16" min="13" style="0" width="17.78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" hidden="false" customHeight="true" outlineLevel="0" collapsed="false">
      <c r="A2" s="1"/>
      <c r="B2" s="2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21" hidden="false" customHeight="true" outlineLevel="0" collapsed="false">
      <c r="A3" s="1"/>
      <c r="B3" s="10" t="s">
        <v>32</v>
      </c>
      <c r="C3" s="1"/>
      <c r="D3" s="1"/>
      <c r="E3" s="1"/>
      <c r="F3" s="1"/>
      <c r="G3" s="1"/>
      <c r="H3" s="1"/>
      <c r="I3" s="9" t="s">
        <v>33</v>
      </c>
      <c r="J3" s="1"/>
      <c r="K3" s="1"/>
      <c r="L3" s="1"/>
      <c r="M3" s="1"/>
      <c r="N3" s="1"/>
      <c r="O3" s="1"/>
      <c r="P3" s="1"/>
    </row>
    <row r="4" customFormat="false" ht="2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1" hidden="false" customHeight="true" outlineLevel="0" collapsed="false">
      <c r="A5" s="1"/>
      <c r="B5" s="1" t="s">
        <v>34</v>
      </c>
      <c r="C5" s="11"/>
      <c r="D5" s="1"/>
      <c r="E5" s="1"/>
      <c r="F5" s="1" t="s">
        <v>35</v>
      </c>
      <c r="G5" s="11"/>
      <c r="H5" s="1"/>
      <c r="I5" s="1"/>
      <c r="J5" s="1"/>
      <c r="K5" s="1"/>
      <c r="L5" s="1"/>
      <c r="M5" s="1"/>
      <c r="N5" s="1"/>
      <c r="O5" s="1"/>
      <c r="P5" s="1"/>
    </row>
    <row r="6" customFormat="false" ht="21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customFormat="false" ht="21" hidden="false" customHeight="true" outlineLevel="0" collapsed="false">
      <c r="A7" s="1"/>
      <c r="B7" s="9" t="s">
        <v>36</v>
      </c>
      <c r="C7" s="9"/>
      <c r="D7" s="9"/>
      <c r="E7" s="9"/>
      <c r="F7" s="9" t="s">
        <v>37</v>
      </c>
      <c r="G7" s="9"/>
      <c r="H7" s="9"/>
      <c r="I7" s="9"/>
      <c r="J7" s="9" t="s">
        <v>38</v>
      </c>
      <c r="K7" s="9"/>
      <c r="L7" s="1"/>
      <c r="M7" s="1"/>
      <c r="N7" s="1"/>
      <c r="O7" s="1"/>
      <c r="P7" s="1"/>
    </row>
    <row r="8" customFormat="false" ht="21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2" t="str">
        <f aca="false">IF($C$5="","",EDATE($C$5,0))</f>
        <v/>
      </c>
      <c r="N8" s="12" t="str">
        <f aca="false">IF($C$5="","",EDATE($C$5,3))</f>
        <v/>
      </c>
      <c r="O8" s="12" t="str">
        <f aca="false">IF($C$5="","",EDATE($C$5,6))</f>
        <v/>
      </c>
      <c r="P8" s="12" t="str">
        <f aca="false">IF($C$5="","",EDATE($C$5,9))</f>
        <v/>
      </c>
    </row>
    <row r="9" customFormat="false" ht="36" hidden="false" customHeight="true" outlineLevel="0" collapsed="false">
      <c r="A9" s="1"/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47</v>
      </c>
      <c r="K9" s="4" t="s">
        <v>48</v>
      </c>
      <c r="L9" s="1"/>
      <c r="M9" s="4" t="s">
        <v>49</v>
      </c>
      <c r="N9" s="4" t="s">
        <v>50</v>
      </c>
      <c r="O9" s="4" t="s">
        <v>51</v>
      </c>
      <c r="P9" s="4" t="s">
        <v>52</v>
      </c>
    </row>
    <row r="10" customFormat="false" ht="43" hidden="false" customHeight="true" outlineLevel="0" collapsed="false">
      <c r="A10" s="1"/>
      <c r="B10" s="13"/>
      <c r="C10" s="13"/>
      <c r="D10" s="14"/>
      <c r="E10" s="14"/>
      <c r="F10" s="15"/>
      <c r="G10" s="15"/>
      <c r="H10" s="13"/>
      <c r="I10" s="13"/>
      <c r="J10" s="13"/>
      <c r="K10" s="7" t="str">
        <f aca="false">IF(B10="","",IF(OR(D10="",E10=""),"Completar datas",IF(E10&lt;D10,"Rever datas",IF(AND(ISNUMBER($G$5),E10&lt;$G$5,F10&lt;&gt;"Concluído"),"Revisar prazo",""))))</f>
        <v/>
      </c>
      <c r="L10" s="1"/>
      <c r="M10" s="16" t="str">
        <f aca="false">IF(OR($B10="",$D10="",$E10="",M$8=""),"",IF(AND($E10&gt;=$D10,$D10&lt;=EDATE(M$8,3)-1,$E10&gt;=M$8),1,""))</f>
        <v/>
      </c>
      <c r="N10" s="16" t="str">
        <f aca="false">IF(OR($B10="",$D10="",$E10="",N$8=""),"",IF(AND($E10&gt;=$D10,$D10&lt;=EDATE(N$8,3)-1,$E10&gt;=N$8),1,""))</f>
        <v/>
      </c>
      <c r="O10" s="16" t="str">
        <f aca="false">IF(OR($B10="",$D10="",$E10="",O$8=""),"",IF(AND($E10&gt;=$D10,$D10&lt;=EDATE(O$8,3)-1,$E10&gt;=O$8),1,""))</f>
        <v/>
      </c>
      <c r="P10" s="16" t="str">
        <f aca="false">IF(OR($B10="",$D10="",$E10="",P$8=""),"",IF(AND($E10&gt;=$D10,$D10&lt;=EDATE(P$8,3)-1,$E10&gt;=P$8),1,""))</f>
        <v/>
      </c>
    </row>
    <row r="11" customFormat="false" ht="43" hidden="false" customHeight="true" outlineLevel="0" collapsed="false">
      <c r="A11" s="1"/>
      <c r="B11" s="13"/>
      <c r="C11" s="13"/>
      <c r="D11" s="14"/>
      <c r="E11" s="14"/>
      <c r="F11" s="15"/>
      <c r="G11" s="15"/>
      <c r="H11" s="13"/>
      <c r="I11" s="13"/>
      <c r="J11" s="13"/>
      <c r="K11" s="7" t="str">
        <f aca="false">IF(B11="","",IF(OR(D11="",E11=""),"Completar datas",IF(E11&lt;D11,"Rever datas",IF(AND(ISNUMBER($G$5),E11&lt;$G$5,F11&lt;&gt;"Concluído"),"Revisar prazo",""))))</f>
        <v/>
      </c>
      <c r="L11" s="1"/>
      <c r="M11" s="16" t="str">
        <f aca="false">IF(OR($B11="",$D11="",$E11="",M$8=""),"",IF(AND($E11&gt;=$D11,$D11&lt;=EDATE(M$8,3)-1,$E11&gt;=M$8),1,""))</f>
        <v/>
      </c>
      <c r="N11" s="16" t="str">
        <f aca="false">IF(OR($B11="",$D11="",$E11="",N$8=""),"",IF(AND($E11&gt;=$D11,$D11&lt;=EDATE(N$8,3)-1,$E11&gt;=N$8),1,""))</f>
        <v/>
      </c>
      <c r="O11" s="16" t="str">
        <f aca="false">IF(OR($B11="",$D11="",$E11="",O$8=""),"",IF(AND($E11&gt;=$D11,$D11&lt;=EDATE(O$8,3)-1,$E11&gt;=O$8),1,""))</f>
        <v/>
      </c>
      <c r="P11" s="16" t="str">
        <f aca="false">IF(OR($B11="",$D11="",$E11="",P$8=""),"",IF(AND($E11&gt;=$D11,$D11&lt;=EDATE(P$8,3)-1,$E11&gt;=P$8),1,""))</f>
        <v/>
      </c>
    </row>
    <row r="12" customFormat="false" ht="43" hidden="false" customHeight="true" outlineLevel="0" collapsed="false">
      <c r="A12" s="1"/>
      <c r="B12" s="13"/>
      <c r="C12" s="13"/>
      <c r="D12" s="14"/>
      <c r="E12" s="14"/>
      <c r="F12" s="15"/>
      <c r="G12" s="15"/>
      <c r="H12" s="13"/>
      <c r="I12" s="13"/>
      <c r="J12" s="13"/>
      <c r="K12" s="7" t="str">
        <f aca="false">IF(B12="","",IF(OR(D12="",E12=""),"Completar datas",IF(E12&lt;D12,"Rever datas",IF(AND(ISNUMBER($G$5),E12&lt;$G$5,F12&lt;&gt;"Concluído"),"Revisar prazo",""))))</f>
        <v/>
      </c>
      <c r="L12" s="1"/>
      <c r="M12" s="16" t="str">
        <f aca="false">IF(OR($B12="",$D12="",$E12="",M$8=""),"",IF(AND($E12&gt;=$D12,$D12&lt;=EDATE(M$8,3)-1,$E12&gt;=M$8),1,""))</f>
        <v/>
      </c>
      <c r="N12" s="16" t="str">
        <f aca="false">IF(OR($B12="",$D12="",$E12="",N$8=""),"",IF(AND($E12&gt;=$D12,$D12&lt;=EDATE(N$8,3)-1,$E12&gt;=N$8),1,""))</f>
        <v/>
      </c>
      <c r="O12" s="16" t="str">
        <f aca="false">IF(OR($B12="",$D12="",$E12="",O$8=""),"",IF(AND($E12&gt;=$D12,$D12&lt;=EDATE(O$8,3)-1,$E12&gt;=O$8),1,""))</f>
        <v/>
      </c>
      <c r="P12" s="16" t="str">
        <f aca="false">IF(OR($B12="",$D12="",$E12="",P$8=""),"",IF(AND($E12&gt;=$D12,$D12&lt;=EDATE(P$8,3)-1,$E12&gt;=P$8),1,""))</f>
        <v/>
      </c>
    </row>
    <row r="13" customFormat="false" ht="43" hidden="false" customHeight="true" outlineLevel="0" collapsed="false">
      <c r="A13" s="1"/>
      <c r="B13" s="13"/>
      <c r="C13" s="13"/>
      <c r="D13" s="14"/>
      <c r="E13" s="14"/>
      <c r="F13" s="15"/>
      <c r="G13" s="15"/>
      <c r="H13" s="13"/>
      <c r="I13" s="13"/>
      <c r="J13" s="13"/>
      <c r="K13" s="7" t="str">
        <f aca="false">IF(B13="","",IF(OR(D13="",E13=""),"Completar datas",IF(E13&lt;D13,"Rever datas",IF(AND(ISNUMBER($G$5),E13&lt;$G$5,F13&lt;&gt;"Concluído"),"Revisar prazo",""))))</f>
        <v/>
      </c>
      <c r="L13" s="1"/>
      <c r="M13" s="16" t="str">
        <f aca="false">IF(OR($B13="",$D13="",$E13="",M$8=""),"",IF(AND($E13&gt;=$D13,$D13&lt;=EDATE(M$8,3)-1,$E13&gt;=M$8),1,""))</f>
        <v/>
      </c>
      <c r="N13" s="16" t="str">
        <f aca="false">IF(OR($B13="",$D13="",$E13="",N$8=""),"",IF(AND($E13&gt;=$D13,$D13&lt;=EDATE(N$8,3)-1,$E13&gt;=N$8),1,""))</f>
        <v/>
      </c>
      <c r="O13" s="16" t="str">
        <f aca="false">IF(OR($B13="",$D13="",$E13="",O$8=""),"",IF(AND($E13&gt;=$D13,$D13&lt;=EDATE(O$8,3)-1,$E13&gt;=O$8),1,""))</f>
        <v/>
      </c>
      <c r="P13" s="16" t="str">
        <f aca="false">IF(OR($B13="",$D13="",$E13="",P$8=""),"",IF(AND($E13&gt;=$D13,$D13&lt;=EDATE(P$8,3)-1,$E13&gt;=P$8),1,""))</f>
        <v/>
      </c>
    </row>
    <row r="14" customFormat="false" ht="43" hidden="false" customHeight="true" outlineLevel="0" collapsed="false">
      <c r="A14" s="1"/>
      <c r="B14" s="13"/>
      <c r="C14" s="13"/>
      <c r="D14" s="14"/>
      <c r="E14" s="14"/>
      <c r="F14" s="15"/>
      <c r="G14" s="15"/>
      <c r="H14" s="13"/>
      <c r="I14" s="13"/>
      <c r="J14" s="13"/>
      <c r="K14" s="7" t="str">
        <f aca="false">IF(B14="","",IF(OR(D14="",E14=""),"Completar datas",IF(E14&lt;D14,"Rever datas",IF(AND(ISNUMBER($G$5),E14&lt;$G$5,F14&lt;&gt;"Concluído"),"Revisar prazo",""))))</f>
        <v/>
      </c>
      <c r="L14" s="1"/>
      <c r="M14" s="16" t="str">
        <f aca="false">IF(OR($B14="",$D14="",$E14="",M$8=""),"",IF(AND($E14&gt;=$D14,$D14&lt;=EDATE(M$8,3)-1,$E14&gt;=M$8),1,""))</f>
        <v/>
      </c>
      <c r="N14" s="16" t="str">
        <f aca="false">IF(OR($B14="",$D14="",$E14="",N$8=""),"",IF(AND($E14&gt;=$D14,$D14&lt;=EDATE(N$8,3)-1,$E14&gt;=N$8),1,""))</f>
        <v/>
      </c>
      <c r="O14" s="16" t="str">
        <f aca="false">IF(OR($B14="",$D14="",$E14="",O$8=""),"",IF(AND($E14&gt;=$D14,$D14&lt;=EDATE(O$8,3)-1,$E14&gt;=O$8),1,""))</f>
        <v/>
      </c>
      <c r="P14" s="16" t="str">
        <f aca="false">IF(OR($B14="",$D14="",$E14="",P$8=""),"",IF(AND($E14&gt;=$D14,$D14&lt;=EDATE(P$8,3)-1,$E14&gt;=P$8),1,""))</f>
        <v/>
      </c>
    </row>
    <row r="15" customFormat="false" ht="43" hidden="false" customHeight="true" outlineLevel="0" collapsed="false">
      <c r="A15" s="1"/>
      <c r="B15" s="13"/>
      <c r="C15" s="13"/>
      <c r="D15" s="14"/>
      <c r="E15" s="14"/>
      <c r="F15" s="15"/>
      <c r="G15" s="15"/>
      <c r="H15" s="13"/>
      <c r="I15" s="13"/>
      <c r="J15" s="13"/>
      <c r="K15" s="7" t="str">
        <f aca="false">IF(B15="","",IF(OR(D15="",E15=""),"Completar datas",IF(E15&lt;D15,"Rever datas",IF(AND(ISNUMBER($G$5),E15&lt;$G$5,F15&lt;&gt;"Concluído"),"Revisar prazo",""))))</f>
        <v/>
      </c>
      <c r="L15" s="1"/>
      <c r="M15" s="16" t="str">
        <f aca="false">IF(OR($B15="",$D15="",$E15="",M$8=""),"",IF(AND($E15&gt;=$D15,$D15&lt;=EDATE(M$8,3)-1,$E15&gt;=M$8),1,""))</f>
        <v/>
      </c>
      <c r="N15" s="16" t="str">
        <f aca="false">IF(OR($B15="",$D15="",$E15="",N$8=""),"",IF(AND($E15&gt;=$D15,$D15&lt;=EDATE(N$8,3)-1,$E15&gt;=N$8),1,""))</f>
        <v/>
      </c>
      <c r="O15" s="16" t="str">
        <f aca="false">IF(OR($B15="",$D15="",$E15="",O$8=""),"",IF(AND($E15&gt;=$D15,$D15&lt;=EDATE(O$8,3)-1,$E15&gt;=O$8),1,""))</f>
        <v/>
      </c>
      <c r="P15" s="16" t="str">
        <f aca="false">IF(OR($B15="",$D15="",$E15="",P$8=""),"",IF(AND($E15&gt;=$D15,$D15&lt;=EDATE(P$8,3)-1,$E15&gt;=P$8),1,""))</f>
        <v/>
      </c>
    </row>
    <row r="16" customFormat="false" ht="43" hidden="false" customHeight="true" outlineLevel="0" collapsed="false">
      <c r="A16" s="1"/>
      <c r="B16" s="13"/>
      <c r="C16" s="13"/>
      <c r="D16" s="14"/>
      <c r="E16" s="14"/>
      <c r="F16" s="15"/>
      <c r="G16" s="15"/>
      <c r="H16" s="13"/>
      <c r="I16" s="13"/>
      <c r="J16" s="13"/>
      <c r="K16" s="7" t="str">
        <f aca="false">IF(B16="","",IF(OR(D16="",E16=""),"Completar datas",IF(E16&lt;D16,"Rever datas",IF(AND(ISNUMBER($G$5),E16&lt;$G$5,F16&lt;&gt;"Concluído"),"Revisar prazo",""))))</f>
        <v/>
      </c>
      <c r="L16" s="1"/>
      <c r="M16" s="16" t="str">
        <f aca="false">IF(OR($B16="",$D16="",$E16="",M$8=""),"",IF(AND($E16&gt;=$D16,$D16&lt;=EDATE(M$8,3)-1,$E16&gt;=M$8),1,""))</f>
        <v/>
      </c>
      <c r="N16" s="16" t="str">
        <f aca="false">IF(OR($B16="",$D16="",$E16="",N$8=""),"",IF(AND($E16&gt;=$D16,$D16&lt;=EDATE(N$8,3)-1,$E16&gt;=N$8),1,""))</f>
        <v/>
      </c>
      <c r="O16" s="16" t="str">
        <f aca="false">IF(OR($B16="",$D16="",$E16="",O$8=""),"",IF(AND($E16&gt;=$D16,$D16&lt;=EDATE(O$8,3)-1,$E16&gt;=O$8),1,""))</f>
        <v/>
      </c>
      <c r="P16" s="16" t="str">
        <f aca="false">IF(OR($B16="",$D16="",$E16="",P$8=""),"",IF(AND($E16&gt;=$D16,$D16&lt;=EDATE(P$8,3)-1,$E16&gt;=P$8),1,""))</f>
        <v/>
      </c>
    </row>
    <row r="17" customFormat="false" ht="43" hidden="false" customHeight="true" outlineLevel="0" collapsed="false">
      <c r="A17" s="1"/>
      <c r="B17" s="13"/>
      <c r="C17" s="13"/>
      <c r="D17" s="14"/>
      <c r="E17" s="14"/>
      <c r="F17" s="15"/>
      <c r="G17" s="15"/>
      <c r="H17" s="13"/>
      <c r="I17" s="13"/>
      <c r="J17" s="13"/>
      <c r="K17" s="7" t="str">
        <f aca="false">IF(B17="","",IF(OR(D17="",E17=""),"Completar datas",IF(E17&lt;D17,"Rever datas",IF(AND(ISNUMBER($G$5),E17&lt;$G$5,F17&lt;&gt;"Concluído"),"Revisar prazo",""))))</f>
        <v/>
      </c>
      <c r="L17" s="1"/>
      <c r="M17" s="16" t="str">
        <f aca="false">IF(OR($B17="",$D17="",$E17="",M$8=""),"",IF(AND($E17&gt;=$D17,$D17&lt;=EDATE(M$8,3)-1,$E17&gt;=M$8),1,""))</f>
        <v/>
      </c>
      <c r="N17" s="16" t="str">
        <f aca="false">IF(OR($B17="",$D17="",$E17="",N$8=""),"",IF(AND($E17&gt;=$D17,$D17&lt;=EDATE(N$8,3)-1,$E17&gt;=N$8),1,""))</f>
        <v/>
      </c>
      <c r="O17" s="16" t="str">
        <f aca="false">IF(OR($B17="",$D17="",$E17="",O$8=""),"",IF(AND($E17&gt;=$D17,$D17&lt;=EDATE(O$8,3)-1,$E17&gt;=O$8),1,""))</f>
        <v/>
      </c>
      <c r="P17" s="16" t="str">
        <f aca="false">IF(OR($B17="",$D17="",$E17="",P$8=""),"",IF(AND($E17&gt;=$D17,$D17&lt;=EDATE(P$8,3)-1,$E17&gt;=P$8),1,""))</f>
        <v/>
      </c>
    </row>
    <row r="18" customFormat="false" ht="43" hidden="false" customHeight="true" outlineLevel="0" collapsed="false">
      <c r="A18" s="1"/>
      <c r="B18" s="13"/>
      <c r="C18" s="13"/>
      <c r="D18" s="14"/>
      <c r="E18" s="14"/>
      <c r="F18" s="15"/>
      <c r="G18" s="15"/>
      <c r="H18" s="13"/>
      <c r="I18" s="13"/>
      <c r="J18" s="13"/>
      <c r="K18" s="7" t="str">
        <f aca="false">IF(B18="","",IF(OR(D18="",E18=""),"Completar datas",IF(E18&lt;D18,"Rever datas",IF(AND(ISNUMBER($G$5),E18&lt;$G$5,F18&lt;&gt;"Concluído"),"Revisar prazo",""))))</f>
        <v/>
      </c>
      <c r="L18" s="1"/>
      <c r="M18" s="16" t="str">
        <f aca="false">IF(OR($B18="",$D18="",$E18="",M$8=""),"",IF(AND($E18&gt;=$D18,$D18&lt;=EDATE(M$8,3)-1,$E18&gt;=M$8),1,""))</f>
        <v/>
      </c>
      <c r="N18" s="16" t="str">
        <f aca="false">IF(OR($B18="",$D18="",$E18="",N$8=""),"",IF(AND($E18&gt;=$D18,$D18&lt;=EDATE(N$8,3)-1,$E18&gt;=N$8),1,""))</f>
        <v/>
      </c>
      <c r="O18" s="16" t="str">
        <f aca="false">IF(OR($B18="",$D18="",$E18="",O$8=""),"",IF(AND($E18&gt;=$D18,$D18&lt;=EDATE(O$8,3)-1,$E18&gt;=O$8),1,""))</f>
        <v/>
      </c>
      <c r="P18" s="16" t="str">
        <f aca="false">IF(OR($B18="",$D18="",$E18="",P$8=""),"",IF(AND($E18&gt;=$D18,$D18&lt;=EDATE(P$8,3)-1,$E18&gt;=P$8),1,""))</f>
        <v/>
      </c>
    </row>
    <row r="19" customFormat="false" ht="43" hidden="false" customHeight="true" outlineLevel="0" collapsed="false">
      <c r="A19" s="1"/>
      <c r="B19" s="13"/>
      <c r="C19" s="13"/>
      <c r="D19" s="14"/>
      <c r="E19" s="14"/>
      <c r="F19" s="15"/>
      <c r="G19" s="15"/>
      <c r="H19" s="13"/>
      <c r="I19" s="13"/>
      <c r="J19" s="13"/>
      <c r="K19" s="7" t="str">
        <f aca="false">IF(B19="","",IF(OR(D19="",E19=""),"Completar datas",IF(E19&lt;D19,"Rever datas",IF(AND(ISNUMBER($G$5),E19&lt;$G$5,F19&lt;&gt;"Concluído"),"Revisar prazo",""))))</f>
        <v/>
      </c>
      <c r="L19" s="1"/>
      <c r="M19" s="16" t="str">
        <f aca="false">IF(OR($B19="",$D19="",$E19="",M$8=""),"",IF(AND($E19&gt;=$D19,$D19&lt;=EDATE(M$8,3)-1,$E19&gt;=M$8),1,""))</f>
        <v/>
      </c>
      <c r="N19" s="16" t="str">
        <f aca="false">IF(OR($B19="",$D19="",$E19="",N$8=""),"",IF(AND($E19&gt;=$D19,$D19&lt;=EDATE(N$8,3)-1,$E19&gt;=N$8),1,""))</f>
        <v/>
      </c>
      <c r="O19" s="16" t="str">
        <f aca="false">IF(OR($B19="",$D19="",$E19="",O$8=""),"",IF(AND($E19&gt;=$D19,$D19&lt;=EDATE(O$8,3)-1,$E19&gt;=O$8),1,""))</f>
        <v/>
      </c>
      <c r="P19" s="16" t="str">
        <f aca="false">IF(OR($B19="",$D19="",$E19="",P$8=""),"",IF(AND($E19&gt;=$D19,$D19&lt;=EDATE(P$8,3)-1,$E19&gt;=P$8),1,""))</f>
        <v/>
      </c>
    </row>
    <row r="20" customFormat="false" ht="43" hidden="false" customHeight="true" outlineLevel="0" collapsed="false">
      <c r="A20" s="1"/>
      <c r="B20" s="13"/>
      <c r="C20" s="13"/>
      <c r="D20" s="14"/>
      <c r="E20" s="14"/>
      <c r="F20" s="15"/>
      <c r="G20" s="15"/>
      <c r="H20" s="13"/>
      <c r="I20" s="13"/>
      <c r="J20" s="13"/>
      <c r="K20" s="7" t="str">
        <f aca="false">IF(B20="","",IF(OR(D20="",E20=""),"Completar datas",IF(E20&lt;D20,"Rever datas",IF(AND(ISNUMBER($G$5),E20&lt;$G$5,F20&lt;&gt;"Concluído"),"Revisar prazo",""))))</f>
        <v/>
      </c>
      <c r="L20" s="1"/>
      <c r="M20" s="16" t="str">
        <f aca="false">IF(OR($B20="",$D20="",$E20="",M$8=""),"",IF(AND($E20&gt;=$D20,$D20&lt;=EDATE(M$8,3)-1,$E20&gt;=M$8),1,""))</f>
        <v/>
      </c>
      <c r="N20" s="16" t="str">
        <f aca="false">IF(OR($B20="",$D20="",$E20="",N$8=""),"",IF(AND($E20&gt;=$D20,$D20&lt;=EDATE(N$8,3)-1,$E20&gt;=N$8),1,""))</f>
        <v/>
      </c>
      <c r="O20" s="16" t="str">
        <f aca="false">IF(OR($B20="",$D20="",$E20="",O$8=""),"",IF(AND($E20&gt;=$D20,$D20&lt;=EDATE(O$8,3)-1,$E20&gt;=O$8),1,""))</f>
        <v/>
      </c>
      <c r="P20" s="16" t="str">
        <f aca="false">IF(OR($B20="",$D20="",$E20="",P$8=""),"",IF(AND($E20&gt;=$D20,$D20&lt;=EDATE(P$8,3)-1,$E20&gt;=P$8),1,""))</f>
        <v/>
      </c>
    </row>
    <row r="21" customFormat="false" ht="43" hidden="false" customHeight="true" outlineLevel="0" collapsed="false">
      <c r="A21" s="1"/>
      <c r="B21" s="13"/>
      <c r="C21" s="13"/>
      <c r="D21" s="14"/>
      <c r="E21" s="14"/>
      <c r="F21" s="15"/>
      <c r="G21" s="15"/>
      <c r="H21" s="13"/>
      <c r="I21" s="13"/>
      <c r="J21" s="13"/>
      <c r="K21" s="7" t="str">
        <f aca="false">IF(B21="","",IF(OR(D21="",E21=""),"Completar datas",IF(E21&lt;D21,"Rever datas",IF(AND(ISNUMBER($G$5),E21&lt;$G$5,F21&lt;&gt;"Concluído"),"Revisar prazo",""))))</f>
        <v/>
      </c>
      <c r="L21" s="1"/>
      <c r="M21" s="16" t="str">
        <f aca="false">IF(OR($B21="",$D21="",$E21="",M$8=""),"",IF(AND($E21&gt;=$D21,$D21&lt;=EDATE(M$8,3)-1,$E21&gt;=M$8),1,""))</f>
        <v/>
      </c>
      <c r="N21" s="16" t="str">
        <f aca="false">IF(OR($B21="",$D21="",$E21="",N$8=""),"",IF(AND($E21&gt;=$D21,$D21&lt;=EDATE(N$8,3)-1,$E21&gt;=N$8),1,""))</f>
        <v/>
      </c>
      <c r="O21" s="16" t="str">
        <f aca="false">IF(OR($B21="",$D21="",$E21="",O$8=""),"",IF(AND($E21&gt;=$D21,$D21&lt;=EDATE(O$8,3)-1,$E21&gt;=O$8),1,""))</f>
        <v/>
      </c>
      <c r="P21" s="16" t="str">
        <f aca="false">IF(OR($B21="",$D21="",$E21="",P$8=""),"",IF(AND($E21&gt;=$D21,$D21&lt;=EDATE(P$8,3)-1,$E21&gt;=P$8),1,""))</f>
        <v/>
      </c>
    </row>
    <row r="22" customFormat="false" ht="21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21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21" hidden="false" customHeight="true" outlineLevel="0" collapsed="false">
      <c r="A24" s="1"/>
      <c r="B24" s="17" t="s">
        <v>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21" hidden="false" customHeight="true" outlineLevel="0" collapsed="false">
      <c r="A25" s="1"/>
      <c r="B25" s="9" t="s">
        <v>54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21" hidden="false" customHeight="true" outlineLevel="0" collapsed="false">
      <c r="A26" s="1"/>
      <c r="B26" s="9" t="s">
        <v>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21" hidden="false" customHeight="true" outlineLevel="0" collapsed="false">
      <c r="A27" s="1"/>
      <c r="B27" s="9" t="s">
        <v>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21" hidden="false" customHeight="true" outlineLevel="0" collapsed="false">
      <c r="A28" s="1"/>
      <c r="B28" s="9" t="s">
        <v>57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21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</sheetData>
  <conditionalFormatting sqref="F10:F21">
    <cfRule type="expression" priority="2" aboveAverage="0" equalAverage="0" bottom="0" percent="0" rank="0" text="" dxfId="0">
      <formula>$F10="A fazer"</formula>
    </cfRule>
    <cfRule type="expression" priority="3" aboveAverage="0" equalAverage="0" bottom="0" percent="0" rank="0" text="" dxfId="1">
      <formula>$F10="Em andamento"</formula>
    </cfRule>
    <cfRule type="expression" priority="4" aboveAverage="0" equalAverage="0" bottom="0" percent="0" rank="0" text="" dxfId="2">
      <formula>$F10="Em validação"</formula>
    </cfRule>
    <cfRule type="expression" priority="5" aboveAverage="0" equalAverage="0" bottom="0" percent="0" rank="0" text="" dxfId="3">
      <formula>$F10="Concluído"</formula>
    </cfRule>
    <cfRule type="expression" priority="6" aboveAverage="0" equalAverage="0" bottom="0" percent="0" rank="0" text="" dxfId="4">
      <formula>$F10="Bloqueado"</formula>
    </cfRule>
    <cfRule type="expression" priority="7" aboveAverage="0" equalAverage="0" bottom="0" percent="0" rank="0" text="" dxfId="5">
      <formula>$F10="Pausado"</formula>
    </cfRule>
  </conditionalFormatting>
  <conditionalFormatting sqref="M10:P21">
    <cfRule type="expression" priority="8" aboveAverage="0" equalAverage="0" bottom="0" percent="0" rank="0" text="" dxfId="6">
      <formula>AND(M10=1,$F10="A fazer")</formula>
    </cfRule>
    <cfRule type="expression" priority="9" aboveAverage="0" equalAverage="0" bottom="0" percent="0" rank="0" text="" dxfId="7">
      <formula>AND(M10=1,$F10="Em andamento")</formula>
    </cfRule>
    <cfRule type="expression" priority="10" aboveAverage="0" equalAverage="0" bottom="0" percent="0" rank="0" text="" dxfId="8">
      <formula>AND(M10=1,$F10="Em validação")</formula>
    </cfRule>
    <cfRule type="expression" priority="11" aboveAverage="0" equalAverage="0" bottom="0" percent="0" rank="0" text="" dxfId="9">
      <formula>AND(M10=1,$F10="Concluído")</formula>
    </cfRule>
    <cfRule type="expression" priority="12" aboveAverage="0" equalAverage="0" bottom="0" percent="0" rank="0" text="" dxfId="10">
      <formula>AND(M10=1,$F10="Bloqueado")</formula>
    </cfRule>
    <cfRule type="expression" priority="13" aboveAverage="0" equalAverage="0" bottom="0" percent="0" rank="0" text="" dxfId="11">
      <formula>AND(M10=1,$F10="Pausado")</formula>
    </cfRule>
    <cfRule type="expression" priority="14" aboveAverage="0" equalAverage="0" bottom="0" percent="0" rank="0" text="" dxfId="12">
      <formula>AND(M10=1,$F10="")</formula>
    </cfRule>
  </conditionalFormatting>
  <conditionalFormatting sqref="K10:K21">
    <cfRule type="containsText" priority="15" operator="containsText" aboveAverage="0" equalAverage="0" bottom="0" percent="0" rank="0" text="Rever datas" dxfId="13">
      <formula>NOT(ISERROR(SEARCH("Rever datas",K10)))</formula>
    </cfRule>
    <cfRule type="containsText" priority="16" operator="containsText" aboveAverage="0" equalAverage="0" bottom="0" percent="0" rank="0" text="Revisar" dxfId="14">
      <formula>NOT(ISERROR(SEARCH("Revisar",K10)))</formula>
    </cfRule>
  </conditionalFormatting>
  <dataValidations count="2">
    <dataValidation allowBlank="false" error="Selecione um dos seis status disponíveis no menu." errorStyle="stop" errorTitle="Escolha um status" operator="between" showDropDown="false" showErrorMessage="true" showInputMessage="false" sqref="F10:F21" type="list">
      <formula1>"A fazer,Em andamento,Em validação,Concluído,Bloqueado,Pausado"</formula1>
      <formula2>0</formula2>
    </dataValidation>
    <dataValidation allowBlank="false" error="Selecione Alta, Média ou Baixa no menu." errorStyle="stop" errorTitle="Escolha uma prioridade" operator="between" showDropDown="false" showErrorMessage="true" showInputMessage="false" sqref="G10:G21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B87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7.22"/>
    <col collapsed="false" customWidth="true" hidden="false" outlineLevel="0" max="3" min="3" style="0" width="15"/>
    <col collapsed="false" customWidth="true" hidden="false" outlineLevel="0" max="5" min="4" style="0" width="11.78"/>
    <col collapsed="false" customWidth="true" hidden="false" outlineLevel="0" max="6" min="6" style="0" width="15"/>
    <col collapsed="false" customWidth="true" hidden="false" outlineLevel="0" max="7" min="7" style="0" width="11.78"/>
    <col collapsed="false" customWidth="true" hidden="false" outlineLevel="0" max="8" min="8" style="0" width="12.78"/>
    <col collapsed="false" customWidth="true" hidden="false" outlineLevel="0" max="9" min="9" style="0" width="26.11"/>
    <col collapsed="false" customWidth="true" hidden="false" outlineLevel="0" max="10" min="10" style="0" width="27.22"/>
    <col collapsed="false" customWidth="true" hidden="false" outlineLevel="0" max="11" min="11" style="0" width="18.34"/>
    <col collapsed="false" customWidth="true" hidden="false" outlineLevel="0" max="12" min="12" style="0" width="2"/>
    <col collapsed="false" customWidth="true" hidden="false" outlineLevel="0" max="18" min="13" style="0" width="12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" hidden="false" customHeight="true" outlineLevel="0" collapsed="false">
      <c r="A2" s="1"/>
      <c r="B2" s="2" t="s">
        <v>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21" hidden="false" customHeight="true" outlineLevel="0" collapsed="false">
      <c r="A3" s="1"/>
      <c r="B3" s="10" t="s">
        <v>32</v>
      </c>
      <c r="C3" s="1"/>
      <c r="D3" s="1"/>
      <c r="E3" s="1"/>
      <c r="F3" s="1"/>
      <c r="G3" s="1"/>
      <c r="H3" s="1"/>
      <c r="I3" s="9" t="s">
        <v>58</v>
      </c>
      <c r="J3" s="1"/>
      <c r="K3" s="1"/>
      <c r="L3" s="1"/>
      <c r="M3" s="1"/>
      <c r="N3" s="1"/>
      <c r="O3" s="1"/>
      <c r="P3" s="1"/>
      <c r="Q3" s="1"/>
      <c r="R3" s="1"/>
    </row>
    <row r="4" customFormat="false" ht="2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1" hidden="false" customHeight="true" outlineLevel="0" collapsed="false">
      <c r="A5" s="1"/>
      <c r="B5" s="1" t="s">
        <v>34</v>
      </c>
      <c r="C5" s="11"/>
      <c r="D5" s="1"/>
      <c r="E5" s="1"/>
      <c r="F5" s="1" t="s">
        <v>35</v>
      </c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Format="false" ht="21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Format="false" ht="21" hidden="false" customHeight="true" outlineLevel="0" collapsed="false">
      <c r="A7" s="1"/>
      <c r="B7" s="9" t="s">
        <v>36</v>
      </c>
      <c r="C7" s="9"/>
      <c r="D7" s="9"/>
      <c r="E7" s="9"/>
      <c r="F7" s="9" t="s">
        <v>37</v>
      </c>
      <c r="G7" s="9"/>
      <c r="H7" s="9"/>
      <c r="I7" s="9"/>
      <c r="J7" s="9" t="s">
        <v>38</v>
      </c>
      <c r="K7" s="9"/>
      <c r="L7" s="1"/>
      <c r="M7" s="1"/>
      <c r="N7" s="1"/>
      <c r="O7" s="1"/>
      <c r="P7" s="1"/>
      <c r="Q7" s="1"/>
      <c r="R7" s="1"/>
    </row>
    <row r="8" customFormat="false" ht="21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2" t="str">
        <f aca="false">IF($C$5="","",EDATE($C$5,0))</f>
        <v/>
      </c>
      <c r="N8" s="12" t="str">
        <f aca="false">IF($C$5="","",EDATE($C$5,1))</f>
        <v/>
      </c>
      <c r="O8" s="12" t="str">
        <f aca="false">IF($C$5="","",EDATE($C$5,2))</f>
        <v/>
      </c>
      <c r="P8" s="12" t="str">
        <f aca="false">IF($C$5="","",EDATE($C$5,3))</f>
        <v/>
      </c>
      <c r="Q8" s="12" t="str">
        <f aca="false">IF($C$5="","",EDATE($C$5,4))</f>
        <v/>
      </c>
      <c r="R8" s="12" t="str">
        <f aca="false">IF($C$5="","",EDATE($C$5,5))</f>
        <v/>
      </c>
    </row>
    <row r="9" customFormat="false" ht="36" hidden="false" customHeight="true" outlineLevel="0" collapsed="false">
      <c r="A9" s="1"/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47</v>
      </c>
      <c r="K9" s="4" t="s">
        <v>48</v>
      </c>
      <c r="L9" s="1"/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4" t="s">
        <v>64</v>
      </c>
    </row>
    <row r="10" customFormat="false" ht="43" hidden="false" customHeight="true" outlineLevel="0" collapsed="false">
      <c r="A10" s="1"/>
      <c r="B10" s="13"/>
      <c r="C10" s="13"/>
      <c r="D10" s="14"/>
      <c r="E10" s="14"/>
      <c r="F10" s="15"/>
      <c r="G10" s="15"/>
      <c r="H10" s="13"/>
      <c r="I10" s="13"/>
      <c r="J10" s="13"/>
      <c r="K10" s="7" t="str">
        <f aca="false">IF(B10="","",IF(OR(D10="",E10=""),"Completar datas",IF(E10&lt;D10,"Rever datas",IF(AND(ISNUMBER($G$5),E10&lt;$G$5,F10&lt;&gt;"Concluído"),"Revisar prazo",""))))</f>
        <v/>
      </c>
      <c r="L10" s="1"/>
      <c r="M10" s="16" t="str">
        <f aca="false">IF(OR($B10="",$D10="",$E10="",M$8=""),"",IF(AND($E10&gt;=$D10,$D10&lt;=EDATE(M$8,1)-1,$E10&gt;=M$8),1,""))</f>
        <v/>
      </c>
      <c r="N10" s="16" t="str">
        <f aca="false">IF(OR($B10="",$D10="",$E10="",N$8=""),"",IF(AND($E10&gt;=$D10,$D10&lt;=EDATE(N$8,1)-1,$E10&gt;=N$8),1,""))</f>
        <v/>
      </c>
      <c r="O10" s="16" t="str">
        <f aca="false">IF(OR($B10="",$D10="",$E10="",O$8=""),"",IF(AND($E10&gt;=$D10,$D10&lt;=EDATE(O$8,1)-1,$E10&gt;=O$8),1,""))</f>
        <v/>
      </c>
      <c r="P10" s="16" t="str">
        <f aca="false">IF(OR($B10="",$D10="",$E10="",P$8=""),"",IF(AND($E10&gt;=$D10,$D10&lt;=EDATE(P$8,1)-1,$E10&gt;=P$8),1,""))</f>
        <v/>
      </c>
      <c r="Q10" s="16" t="str">
        <f aca="false">IF(OR($B10="",$D10="",$E10="",Q$8=""),"",IF(AND($E10&gt;=$D10,$D10&lt;=EDATE(Q$8,1)-1,$E10&gt;=Q$8),1,""))</f>
        <v/>
      </c>
      <c r="R10" s="16" t="str">
        <f aca="false">IF(OR($B10="",$D10="",$E10="",R$8=""),"",IF(AND($E10&gt;=$D10,$D10&lt;=EDATE(R$8,1)-1,$E10&gt;=R$8),1,""))</f>
        <v/>
      </c>
    </row>
    <row r="11" customFormat="false" ht="43" hidden="false" customHeight="true" outlineLevel="0" collapsed="false">
      <c r="A11" s="1"/>
      <c r="B11" s="13"/>
      <c r="C11" s="13"/>
      <c r="D11" s="14"/>
      <c r="E11" s="14"/>
      <c r="F11" s="15"/>
      <c r="G11" s="15"/>
      <c r="H11" s="13"/>
      <c r="I11" s="13"/>
      <c r="J11" s="13"/>
      <c r="K11" s="7" t="str">
        <f aca="false">IF(B11="","",IF(OR(D11="",E11=""),"Completar datas",IF(E11&lt;D11,"Rever datas",IF(AND(ISNUMBER($G$5),E11&lt;$G$5,F11&lt;&gt;"Concluído"),"Revisar prazo",""))))</f>
        <v/>
      </c>
      <c r="L11" s="1"/>
      <c r="M11" s="16" t="str">
        <f aca="false">IF(OR($B11="",$D11="",$E11="",M$8=""),"",IF(AND($E11&gt;=$D11,$D11&lt;=EDATE(M$8,1)-1,$E11&gt;=M$8),1,""))</f>
        <v/>
      </c>
      <c r="N11" s="16" t="str">
        <f aca="false">IF(OR($B11="",$D11="",$E11="",N$8=""),"",IF(AND($E11&gt;=$D11,$D11&lt;=EDATE(N$8,1)-1,$E11&gt;=N$8),1,""))</f>
        <v/>
      </c>
      <c r="O11" s="16" t="str">
        <f aca="false">IF(OR($B11="",$D11="",$E11="",O$8=""),"",IF(AND($E11&gt;=$D11,$D11&lt;=EDATE(O$8,1)-1,$E11&gt;=O$8),1,""))</f>
        <v/>
      </c>
      <c r="P11" s="16" t="str">
        <f aca="false">IF(OR($B11="",$D11="",$E11="",P$8=""),"",IF(AND($E11&gt;=$D11,$D11&lt;=EDATE(P$8,1)-1,$E11&gt;=P$8),1,""))</f>
        <v/>
      </c>
      <c r="Q11" s="16" t="str">
        <f aca="false">IF(OR($B11="",$D11="",$E11="",Q$8=""),"",IF(AND($E11&gt;=$D11,$D11&lt;=EDATE(Q$8,1)-1,$E11&gt;=Q$8),1,""))</f>
        <v/>
      </c>
      <c r="R11" s="16" t="str">
        <f aca="false">IF(OR($B11="",$D11="",$E11="",R$8=""),"",IF(AND($E11&gt;=$D11,$D11&lt;=EDATE(R$8,1)-1,$E11&gt;=R$8),1,""))</f>
        <v/>
      </c>
    </row>
    <row r="12" customFormat="false" ht="43" hidden="false" customHeight="true" outlineLevel="0" collapsed="false">
      <c r="A12" s="1"/>
      <c r="B12" s="13"/>
      <c r="C12" s="13"/>
      <c r="D12" s="14"/>
      <c r="E12" s="14"/>
      <c r="F12" s="15"/>
      <c r="G12" s="15"/>
      <c r="H12" s="13"/>
      <c r="I12" s="13"/>
      <c r="J12" s="13"/>
      <c r="K12" s="7" t="str">
        <f aca="false">IF(B12="","",IF(OR(D12="",E12=""),"Completar datas",IF(E12&lt;D12,"Rever datas",IF(AND(ISNUMBER($G$5),E12&lt;$G$5,F12&lt;&gt;"Concluído"),"Revisar prazo",""))))</f>
        <v/>
      </c>
      <c r="L12" s="1"/>
      <c r="M12" s="16" t="str">
        <f aca="false">IF(OR($B12="",$D12="",$E12="",M$8=""),"",IF(AND($E12&gt;=$D12,$D12&lt;=EDATE(M$8,1)-1,$E12&gt;=M$8),1,""))</f>
        <v/>
      </c>
      <c r="N12" s="16" t="str">
        <f aca="false">IF(OR($B12="",$D12="",$E12="",N$8=""),"",IF(AND($E12&gt;=$D12,$D12&lt;=EDATE(N$8,1)-1,$E12&gt;=N$8),1,""))</f>
        <v/>
      </c>
      <c r="O12" s="16" t="str">
        <f aca="false">IF(OR($B12="",$D12="",$E12="",O$8=""),"",IF(AND($E12&gt;=$D12,$D12&lt;=EDATE(O$8,1)-1,$E12&gt;=O$8),1,""))</f>
        <v/>
      </c>
      <c r="P12" s="16" t="str">
        <f aca="false">IF(OR($B12="",$D12="",$E12="",P$8=""),"",IF(AND($E12&gt;=$D12,$D12&lt;=EDATE(P$8,1)-1,$E12&gt;=P$8),1,""))</f>
        <v/>
      </c>
      <c r="Q12" s="16" t="str">
        <f aca="false">IF(OR($B12="",$D12="",$E12="",Q$8=""),"",IF(AND($E12&gt;=$D12,$D12&lt;=EDATE(Q$8,1)-1,$E12&gt;=Q$8),1,""))</f>
        <v/>
      </c>
      <c r="R12" s="16" t="str">
        <f aca="false">IF(OR($B12="",$D12="",$E12="",R$8=""),"",IF(AND($E12&gt;=$D12,$D12&lt;=EDATE(R$8,1)-1,$E12&gt;=R$8),1,""))</f>
        <v/>
      </c>
    </row>
    <row r="13" customFormat="false" ht="43" hidden="false" customHeight="true" outlineLevel="0" collapsed="false">
      <c r="A13" s="1"/>
      <c r="B13" s="13"/>
      <c r="C13" s="13"/>
      <c r="D13" s="14"/>
      <c r="E13" s="14"/>
      <c r="F13" s="15"/>
      <c r="G13" s="15"/>
      <c r="H13" s="13"/>
      <c r="I13" s="13"/>
      <c r="J13" s="13"/>
      <c r="K13" s="7" t="str">
        <f aca="false">IF(B13="","",IF(OR(D13="",E13=""),"Completar datas",IF(E13&lt;D13,"Rever datas",IF(AND(ISNUMBER($G$5),E13&lt;$G$5,F13&lt;&gt;"Concluído"),"Revisar prazo",""))))</f>
        <v/>
      </c>
      <c r="L13" s="1"/>
      <c r="M13" s="16" t="str">
        <f aca="false">IF(OR($B13="",$D13="",$E13="",M$8=""),"",IF(AND($E13&gt;=$D13,$D13&lt;=EDATE(M$8,1)-1,$E13&gt;=M$8),1,""))</f>
        <v/>
      </c>
      <c r="N13" s="16" t="str">
        <f aca="false">IF(OR($B13="",$D13="",$E13="",N$8=""),"",IF(AND($E13&gt;=$D13,$D13&lt;=EDATE(N$8,1)-1,$E13&gt;=N$8),1,""))</f>
        <v/>
      </c>
      <c r="O13" s="16" t="str">
        <f aca="false">IF(OR($B13="",$D13="",$E13="",O$8=""),"",IF(AND($E13&gt;=$D13,$D13&lt;=EDATE(O$8,1)-1,$E13&gt;=O$8),1,""))</f>
        <v/>
      </c>
      <c r="P13" s="16" t="str">
        <f aca="false">IF(OR($B13="",$D13="",$E13="",P$8=""),"",IF(AND($E13&gt;=$D13,$D13&lt;=EDATE(P$8,1)-1,$E13&gt;=P$8),1,""))</f>
        <v/>
      </c>
      <c r="Q13" s="16" t="str">
        <f aca="false">IF(OR($B13="",$D13="",$E13="",Q$8=""),"",IF(AND($E13&gt;=$D13,$D13&lt;=EDATE(Q$8,1)-1,$E13&gt;=Q$8),1,""))</f>
        <v/>
      </c>
      <c r="R13" s="16" t="str">
        <f aca="false">IF(OR($B13="",$D13="",$E13="",R$8=""),"",IF(AND($E13&gt;=$D13,$D13&lt;=EDATE(R$8,1)-1,$E13&gt;=R$8),1,""))</f>
        <v/>
      </c>
    </row>
    <row r="14" customFormat="false" ht="43" hidden="false" customHeight="true" outlineLevel="0" collapsed="false">
      <c r="A14" s="1"/>
      <c r="B14" s="13"/>
      <c r="C14" s="13"/>
      <c r="D14" s="14"/>
      <c r="E14" s="14"/>
      <c r="F14" s="15"/>
      <c r="G14" s="15"/>
      <c r="H14" s="13"/>
      <c r="I14" s="13"/>
      <c r="J14" s="13"/>
      <c r="K14" s="7" t="str">
        <f aca="false">IF(B14="","",IF(OR(D14="",E14=""),"Completar datas",IF(E14&lt;D14,"Rever datas",IF(AND(ISNUMBER($G$5),E14&lt;$G$5,F14&lt;&gt;"Concluído"),"Revisar prazo",""))))</f>
        <v/>
      </c>
      <c r="L14" s="1"/>
      <c r="M14" s="16" t="str">
        <f aca="false">IF(OR($B14="",$D14="",$E14="",M$8=""),"",IF(AND($E14&gt;=$D14,$D14&lt;=EDATE(M$8,1)-1,$E14&gt;=M$8),1,""))</f>
        <v/>
      </c>
      <c r="N14" s="16" t="str">
        <f aca="false">IF(OR($B14="",$D14="",$E14="",N$8=""),"",IF(AND($E14&gt;=$D14,$D14&lt;=EDATE(N$8,1)-1,$E14&gt;=N$8),1,""))</f>
        <v/>
      </c>
      <c r="O14" s="16" t="str">
        <f aca="false">IF(OR($B14="",$D14="",$E14="",O$8=""),"",IF(AND($E14&gt;=$D14,$D14&lt;=EDATE(O$8,1)-1,$E14&gt;=O$8),1,""))</f>
        <v/>
      </c>
      <c r="P14" s="16" t="str">
        <f aca="false">IF(OR($B14="",$D14="",$E14="",P$8=""),"",IF(AND($E14&gt;=$D14,$D14&lt;=EDATE(P$8,1)-1,$E14&gt;=P$8),1,""))</f>
        <v/>
      </c>
      <c r="Q14" s="16" t="str">
        <f aca="false">IF(OR($B14="",$D14="",$E14="",Q$8=""),"",IF(AND($E14&gt;=$D14,$D14&lt;=EDATE(Q$8,1)-1,$E14&gt;=Q$8),1,""))</f>
        <v/>
      </c>
      <c r="R14" s="16" t="str">
        <f aca="false">IF(OR($B14="",$D14="",$E14="",R$8=""),"",IF(AND($E14&gt;=$D14,$D14&lt;=EDATE(R$8,1)-1,$E14&gt;=R$8),1,""))</f>
        <v/>
      </c>
    </row>
    <row r="15" customFormat="false" ht="43" hidden="false" customHeight="true" outlineLevel="0" collapsed="false">
      <c r="A15" s="1"/>
      <c r="B15" s="13"/>
      <c r="C15" s="13"/>
      <c r="D15" s="14"/>
      <c r="E15" s="14"/>
      <c r="F15" s="15"/>
      <c r="G15" s="15"/>
      <c r="H15" s="13"/>
      <c r="I15" s="13"/>
      <c r="J15" s="13"/>
      <c r="K15" s="7" t="str">
        <f aca="false">IF(B15="","",IF(OR(D15="",E15=""),"Completar datas",IF(E15&lt;D15,"Rever datas",IF(AND(ISNUMBER($G$5),E15&lt;$G$5,F15&lt;&gt;"Concluído"),"Revisar prazo",""))))</f>
        <v/>
      </c>
      <c r="L15" s="1"/>
      <c r="M15" s="16" t="str">
        <f aca="false">IF(OR($B15="",$D15="",$E15="",M$8=""),"",IF(AND($E15&gt;=$D15,$D15&lt;=EDATE(M$8,1)-1,$E15&gt;=M$8),1,""))</f>
        <v/>
      </c>
      <c r="N15" s="16" t="str">
        <f aca="false">IF(OR($B15="",$D15="",$E15="",N$8=""),"",IF(AND($E15&gt;=$D15,$D15&lt;=EDATE(N$8,1)-1,$E15&gt;=N$8),1,""))</f>
        <v/>
      </c>
      <c r="O15" s="16" t="str">
        <f aca="false">IF(OR($B15="",$D15="",$E15="",O$8=""),"",IF(AND($E15&gt;=$D15,$D15&lt;=EDATE(O$8,1)-1,$E15&gt;=O$8),1,""))</f>
        <v/>
      </c>
      <c r="P15" s="16" t="str">
        <f aca="false">IF(OR($B15="",$D15="",$E15="",P$8=""),"",IF(AND($E15&gt;=$D15,$D15&lt;=EDATE(P$8,1)-1,$E15&gt;=P$8),1,""))</f>
        <v/>
      </c>
      <c r="Q15" s="16" t="str">
        <f aca="false">IF(OR($B15="",$D15="",$E15="",Q$8=""),"",IF(AND($E15&gt;=$D15,$D15&lt;=EDATE(Q$8,1)-1,$E15&gt;=Q$8),1,""))</f>
        <v/>
      </c>
      <c r="R15" s="16" t="str">
        <f aca="false">IF(OR($B15="",$D15="",$E15="",R$8=""),"",IF(AND($E15&gt;=$D15,$D15&lt;=EDATE(R$8,1)-1,$E15&gt;=R$8),1,""))</f>
        <v/>
      </c>
    </row>
    <row r="16" customFormat="false" ht="43" hidden="false" customHeight="true" outlineLevel="0" collapsed="false">
      <c r="A16" s="1"/>
      <c r="B16" s="13"/>
      <c r="C16" s="13"/>
      <c r="D16" s="14"/>
      <c r="E16" s="14"/>
      <c r="F16" s="15"/>
      <c r="G16" s="15"/>
      <c r="H16" s="13"/>
      <c r="I16" s="13"/>
      <c r="J16" s="13"/>
      <c r="K16" s="7" t="str">
        <f aca="false">IF(B16="","",IF(OR(D16="",E16=""),"Completar datas",IF(E16&lt;D16,"Rever datas",IF(AND(ISNUMBER($G$5),E16&lt;$G$5,F16&lt;&gt;"Concluído"),"Revisar prazo",""))))</f>
        <v/>
      </c>
      <c r="L16" s="1"/>
      <c r="M16" s="16" t="str">
        <f aca="false">IF(OR($B16="",$D16="",$E16="",M$8=""),"",IF(AND($E16&gt;=$D16,$D16&lt;=EDATE(M$8,1)-1,$E16&gt;=M$8),1,""))</f>
        <v/>
      </c>
      <c r="N16" s="16" t="str">
        <f aca="false">IF(OR($B16="",$D16="",$E16="",N$8=""),"",IF(AND($E16&gt;=$D16,$D16&lt;=EDATE(N$8,1)-1,$E16&gt;=N$8),1,""))</f>
        <v/>
      </c>
      <c r="O16" s="16" t="str">
        <f aca="false">IF(OR($B16="",$D16="",$E16="",O$8=""),"",IF(AND($E16&gt;=$D16,$D16&lt;=EDATE(O$8,1)-1,$E16&gt;=O$8),1,""))</f>
        <v/>
      </c>
      <c r="P16" s="16" t="str">
        <f aca="false">IF(OR($B16="",$D16="",$E16="",P$8=""),"",IF(AND($E16&gt;=$D16,$D16&lt;=EDATE(P$8,1)-1,$E16&gt;=P$8),1,""))</f>
        <v/>
      </c>
      <c r="Q16" s="16" t="str">
        <f aca="false">IF(OR($B16="",$D16="",$E16="",Q$8=""),"",IF(AND($E16&gt;=$D16,$D16&lt;=EDATE(Q$8,1)-1,$E16&gt;=Q$8),1,""))</f>
        <v/>
      </c>
      <c r="R16" s="16" t="str">
        <f aca="false">IF(OR($B16="",$D16="",$E16="",R$8=""),"",IF(AND($E16&gt;=$D16,$D16&lt;=EDATE(R$8,1)-1,$E16&gt;=R$8),1,""))</f>
        <v/>
      </c>
    </row>
    <row r="17" customFormat="false" ht="43" hidden="false" customHeight="true" outlineLevel="0" collapsed="false">
      <c r="A17" s="1"/>
      <c r="B17" s="13"/>
      <c r="C17" s="13"/>
      <c r="D17" s="14"/>
      <c r="E17" s="14"/>
      <c r="F17" s="15"/>
      <c r="G17" s="15"/>
      <c r="H17" s="13"/>
      <c r="I17" s="13"/>
      <c r="J17" s="13"/>
      <c r="K17" s="7" t="str">
        <f aca="false">IF(B17="","",IF(OR(D17="",E17=""),"Completar datas",IF(E17&lt;D17,"Rever datas",IF(AND(ISNUMBER($G$5),E17&lt;$G$5,F17&lt;&gt;"Concluído"),"Revisar prazo",""))))</f>
        <v/>
      </c>
      <c r="L17" s="1"/>
      <c r="M17" s="16" t="str">
        <f aca="false">IF(OR($B17="",$D17="",$E17="",M$8=""),"",IF(AND($E17&gt;=$D17,$D17&lt;=EDATE(M$8,1)-1,$E17&gt;=M$8),1,""))</f>
        <v/>
      </c>
      <c r="N17" s="16" t="str">
        <f aca="false">IF(OR($B17="",$D17="",$E17="",N$8=""),"",IF(AND($E17&gt;=$D17,$D17&lt;=EDATE(N$8,1)-1,$E17&gt;=N$8),1,""))</f>
        <v/>
      </c>
      <c r="O17" s="16" t="str">
        <f aca="false">IF(OR($B17="",$D17="",$E17="",O$8=""),"",IF(AND($E17&gt;=$D17,$D17&lt;=EDATE(O$8,1)-1,$E17&gt;=O$8),1,""))</f>
        <v/>
      </c>
      <c r="P17" s="16" t="str">
        <f aca="false">IF(OR($B17="",$D17="",$E17="",P$8=""),"",IF(AND($E17&gt;=$D17,$D17&lt;=EDATE(P$8,1)-1,$E17&gt;=P$8),1,""))</f>
        <v/>
      </c>
      <c r="Q17" s="16" t="str">
        <f aca="false">IF(OR($B17="",$D17="",$E17="",Q$8=""),"",IF(AND($E17&gt;=$D17,$D17&lt;=EDATE(Q$8,1)-1,$E17&gt;=Q$8),1,""))</f>
        <v/>
      </c>
      <c r="R17" s="16" t="str">
        <f aca="false">IF(OR($B17="",$D17="",$E17="",R$8=""),"",IF(AND($E17&gt;=$D17,$D17&lt;=EDATE(R$8,1)-1,$E17&gt;=R$8),1,""))</f>
        <v/>
      </c>
    </row>
    <row r="18" customFormat="false" ht="43" hidden="false" customHeight="true" outlineLevel="0" collapsed="false">
      <c r="A18" s="1"/>
      <c r="B18" s="13"/>
      <c r="C18" s="13"/>
      <c r="D18" s="14"/>
      <c r="E18" s="14"/>
      <c r="F18" s="15"/>
      <c r="G18" s="15"/>
      <c r="H18" s="13"/>
      <c r="I18" s="13"/>
      <c r="J18" s="13"/>
      <c r="K18" s="7" t="str">
        <f aca="false">IF(B18="","",IF(OR(D18="",E18=""),"Completar datas",IF(E18&lt;D18,"Rever datas",IF(AND(ISNUMBER($G$5),E18&lt;$G$5,F18&lt;&gt;"Concluído"),"Revisar prazo",""))))</f>
        <v/>
      </c>
      <c r="L18" s="1"/>
      <c r="M18" s="16" t="str">
        <f aca="false">IF(OR($B18="",$D18="",$E18="",M$8=""),"",IF(AND($E18&gt;=$D18,$D18&lt;=EDATE(M$8,1)-1,$E18&gt;=M$8),1,""))</f>
        <v/>
      </c>
      <c r="N18" s="16" t="str">
        <f aca="false">IF(OR($B18="",$D18="",$E18="",N$8=""),"",IF(AND($E18&gt;=$D18,$D18&lt;=EDATE(N$8,1)-1,$E18&gt;=N$8),1,""))</f>
        <v/>
      </c>
      <c r="O18" s="16" t="str">
        <f aca="false">IF(OR($B18="",$D18="",$E18="",O$8=""),"",IF(AND($E18&gt;=$D18,$D18&lt;=EDATE(O$8,1)-1,$E18&gt;=O$8),1,""))</f>
        <v/>
      </c>
      <c r="P18" s="16" t="str">
        <f aca="false">IF(OR($B18="",$D18="",$E18="",P$8=""),"",IF(AND($E18&gt;=$D18,$D18&lt;=EDATE(P$8,1)-1,$E18&gt;=P$8),1,""))</f>
        <v/>
      </c>
      <c r="Q18" s="16" t="str">
        <f aca="false">IF(OR($B18="",$D18="",$E18="",Q$8=""),"",IF(AND($E18&gt;=$D18,$D18&lt;=EDATE(Q$8,1)-1,$E18&gt;=Q$8),1,""))</f>
        <v/>
      </c>
      <c r="R18" s="16" t="str">
        <f aca="false">IF(OR($B18="",$D18="",$E18="",R$8=""),"",IF(AND($E18&gt;=$D18,$D18&lt;=EDATE(R$8,1)-1,$E18&gt;=R$8),1,""))</f>
        <v/>
      </c>
    </row>
    <row r="19" customFormat="false" ht="43" hidden="false" customHeight="true" outlineLevel="0" collapsed="false">
      <c r="A19" s="1"/>
      <c r="B19" s="13"/>
      <c r="C19" s="13"/>
      <c r="D19" s="14"/>
      <c r="E19" s="14"/>
      <c r="F19" s="15"/>
      <c r="G19" s="15"/>
      <c r="H19" s="13"/>
      <c r="I19" s="13"/>
      <c r="J19" s="13"/>
      <c r="K19" s="7" t="str">
        <f aca="false">IF(B19="","",IF(OR(D19="",E19=""),"Completar datas",IF(E19&lt;D19,"Rever datas",IF(AND(ISNUMBER($G$5),E19&lt;$G$5,F19&lt;&gt;"Concluído"),"Revisar prazo",""))))</f>
        <v/>
      </c>
      <c r="L19" s="1"/>
      <c r="M19" s="16" t="str">
        <f aca="false">IF(OR($B19="",$D19="",$E19="",M$8=""),"",IF(AND($E19&gt;=$D19,$D19&lt;=EDATE(M$8,1)-1,$E19&gt;=M$8),1,""))</f>
        <v/>
      </c>
      <c r="N19" s="16" t="str">
        <f aca="false">IF(OR($B19="",$D19="",$E19="",N$8=""),"",IF(AND($E19&gt;=$D19,$D19&lt;=EDATE(N$8,1)-1,$E19&gt;=N$8),1,""))</f>
        <v/>
      </c>
      <c r="O19" s="16" t="str">
        <f aca="false">IF(OR($B19="",$D19="",$E19="",O$8=""),"",IF(AND($E19&gt;=$D19,$D19&lt;=EDATE(O$8,1)-1,$E19&gt;=O$8),1,""))</f>
        <v/>
      </c>
      <c r="P19" s="16" t="str">
        <f aca="false">IF(OR($B19="",$D19="",$E19="",P$8=""),"",IF(AND($E19&gt;=$D19,$D19&lt;=EDATE(P$8,1)-1,$E19&gt;=P$8),1,""))</f>
        <v/>
      </c>
      <c r="Q19" s="16" t="str">
        <f aca="false">IF(OR($B19="",$D19="",$E19="",Q$8=""),"",IF(AND($E19&gt;=$D19,$D19&lt;=EDATE(Q$8,1)-1,$E19&gt;=Q$8),1,""))</f>
        <v/>
      </c>
      <c r="R19" s="16" t="str">
        <f aca="false">IF(OR($B19="",$D19="",$E19="",R$8=""),"",IF(AND($E19&gt;=$D19,$D19&lt;=EDATE(R$8,1)-1,$E19&gt;=R$8),1,""))</f>
        <v/>
      </c>
    </row>
    <row r="20" customFormat="false" ht="43" hidden="false" customHeight="true" outlineLevel="0" collapsed="false">
      <c r="A20" s="1"/>
      <c r="B20" s="13"/>
      <c r="C20" s="13"/>
      <c r="D20" s="14"/>
      <c r="E20" s="14"/>
      <c r="F20" s="15"/>
      <c r="G20" s="15"/>
      <c r="H20" s="13"/>
      <c r="I20" s="13"/>
      <c r="J20" s="13"/>
      <c r="K20" s="7" t="str">
        <f aca="false">IF(B20="","",IF(OR(D20="",E20=""),"Completar datas",IF(E20&lt;D20,"Rever datas",IF(AND(ISNUMBER($G$5),E20&lt;$G$5,F20&lt;&gt;"Concluído"),"Revisar prazo",""))))</f>
        <v/>
      </c>
      <c r="L20" s="1"/>
      <c r="M20" s="16" t="str">
        <f aca="false">IF(OR($B20="",$D20="",$E20="",M$8=""),"",IF(AND($E20&gt;=$D20,$D20&lt;=EDATE(M$8,1)-1,$E20&gt;=M$8),1,""))</f>
        <v/>
      </c>
      <c r="N20" s="16" t="str">
        <f aca="false">IF(OR($B20="",$D20="",$E20="",N$8=""),"",IF(AND($E20&gt;=$D20,$D20&lt;=EDATE(N$8,1)-1,$E20&gt;=N$8),1,""))</f>
        <v/>
      </c>
      <c r="O20" s="16" t="str">
        <f aca="false">IF(OR($B20="",$D20="",$E20="",O$8=""),"",IF(AND($E20&gt;=$D20,$D20&lt;=EDATE(O$8,1)-1,$E20&gt;=O$8),1,""))</f>
        <v/>
      </c>
      <c r="P20" s="16" t="str">
        <f aca="false">IF(OR($B20="",$D20="",$E20="",P$8=""),"",IF(AND($E20&gt;=$D20,$D20&lt;=EDATE(P$8,1)-1,$E20&gt;=P$8),1,""))</f>
        <v/>
      </c>
      <c r="Q20" s="16" t="str">
        <f aca="false">IF(OR($B20="",$D20="",$E20="",Q$8=""),"",IF(AND($E20&gt;=$D20,$D20&lt;=EDATE(Q$8,1)-1,$E20&gt;=Q$8),1,""))</f>
        <v/>
      </c>
      <c r="R20" s="16" t="str">
        <f aca="false">IF(OR($B20="",$D20="",$E20="",R$8=""),"",IF(AND($E20&gt;=$D20,$D20&lt;=EDATE(R$8,1)-1,$E20&gt;=R$8),1,""))</f>
        <v/>
      </c>
    </row>
    <row r="21" customFormat="false" ht="43" hidden="false" customHeight="true" outlineLevel="0" collapsed="false">
      <c r="A21" s="1"/>
      <c r="B21" s="13"/>
      <c r="C21" s="13"/>
      <c r="D21" s="14"/>
      <c r="E21" s="14"/>
      <c r="F21" s="15"/>
      <c r="G21" s="15"/>
      <c r="H21" s="13"/>
      <c r="I21" s="13"/>
      <c r="J21" s="13"/>
      <c r="K21" s="7" t="str">
        <f aca="false">IF(B21="","",IF(OR(D21="",E21=""),"Completar datas",IF(E21&lt;D21,"Rever datas",IF(AND(ISNUMBER($G$5),E21&lt;$G$5,F21&lt;&gt;"Concluído"),"Revisar prazo",""))))</f>
        <v/>
      </c>
      <c r="L21" s="1"/>
      <c r="M21" s="16" t="str">
        <f aca="false">IF(OR($B21="",$D21="",$E21="",M$8=""),"",IF(AND($E21&gt;=$D21,$D21&lt;=EDATE(M$8,1)-1,$E21&gt;=M$8),1,""))</f>
        <v/>
      </c>
      <c r="N21" s="16" t="str">
        <f aca="false">IF(OR($B21="",$D21="",$E21="",N$8=""),"",IF(AND($E21&gt;=$D21,$D21&lt;=EDATE(N$8,1)-1,$E21&gt;=N$8),1,""))</f>
        <v/>
      </c>
      <c r="O21" s="16" t="str">
        <f aca="false">IF(OR($B21="",$D21="",$E21="",O$8=""),"",IF(AND($E21&gt;=$D21,$D21&lt;=EDATE(O$8,1)-1,$E21&gt;=O$8),1,""))</f>
        <v/>
      </c>
      <c r="P21" s="16" t="str">
        <f aca="false">IF(OR($B21="",$D21="",$E21="",P$8=""),"",IF(AND($E21&gt;=$D21,$D21&lt;=EDATE(P$8,1)-1,$E21&gt;=P$8),1,""))</f>
        <v/>
      </c>
      <c r="Q21" s="16" t="str">
        <f aca="false">IF(OR($B21="",$D21="",$E21="",Q$8=""),"",IF(AND($E21&gt;=$D21,$D21&lt;=EDATE(Q$8,1)-1,$E21&gt;=Q$8),1,""))</f>
        <v/>
      </c>
      <c r="R21" s="16" t="str">
        <f aca="false">IF(OR($B21="",$D21="",$E21="",R$8=""),"",IF(AND($E21&gt;=$D21,$D21&lt;=EDATE(R$8,1)-1,$E21&gt;=R$8),1,""))</f>
        <v/>
      </c>
    </row>
    <row r="22" customFormat="false" ht="21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21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21" hidden="false" customHeight="true" outlineLevel="0" collapsed="false">
      <c r="A24" s="1"/>
      <c r="B24" s="17" t="s">
        <v>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21" hidden="false" customHeight="true" outlineLevel="0" collapsed="false">
      <c r="A25" s="1"/>
      <c r="B25" s="9" t="s">
        <v>54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21" hidden="false" customHeight="true" outlineLevel="0" collapsed="false">
      <c r="A26" s="1"/>
      <c r="B26" s="9" t="s">
        <v>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21" hidden="false" customHeight="true" outlineLevel="0" collapsed="false">
      <c r="A27" s="1"/>
      <c r="B27" s="9" t="s">
        <v>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21" hidden="false" customHeight="true" outlineLevel="0" collapsed="false">
      <c r="A28" s="1"/>
      <c r="B28" s="9" t="s">
        <v>57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21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conditionalFormatting sqref="F10:F21">
    <cfRule type="expression" priority="2" aboveAverage="0" equalAverage="0" bottom="0" percent="0" rank="0" text="" dxfId="15">
      <formula>$F10="A fazer"</formula>
    </cfRule>
    <cfRule type="expression" priority="3" aboveAverage="0" equalAverage="0" bottom="0" percent="0" rank="0" text="" dxfId="16">
      <formula>$F10="Em andamento"</formula>
    </cfRule>
    <cfRule type="expression" priority="4" aboveAverage="0" equalAverage="0" bottom="0" percent="0" rank="0" text="" dxfId="17">
      <formula>$F10="Em validação"</formula>
    </cfRule>
    <cfRule type="expression" priority="5" aboveAverage="0" equalAverage="0" bottom="0" percent="0" rank="0" text="" dxfId="18">
      <formula>$F10="Concluído"</formula>
    </cfRule>
    <cfRule type="expression" priority="6" aboveAverage="0" equalAverage="0" bottom="0" percent="0" rank="0" text="" dxfId="19">
      <formula>$F10="Bloqueado"</formula>
    </cfRule>
    <cfRule type="expression" priority="7" aboveAverage="0" equalAverage="0" bottom="0" percent="0" rank="0" text="" dxfId="20">
      <formula>$F10="Pausado"</formula>
    </cfRule>
  </conditionalFormatting>
  <conditionalFormatting sqref="M10:R21">
    <cfRule type="expression" priority="8" aboveAverage="0" equalAverage="0" bottom="0" percent="0" rank="0" text="" dxfId="21">
      <formula>AND(M10=1,$F10="A fazer")</formula>
    </cfRule>
    <cfRule type="expression" priority="9" aboveAverage="0" equalAverage="0" bottom="0" percent="0" rank="0" text="" dxfId="22">
      <formula>AND(M10=1,$F10="Em andamento")</formula>
    </cfRule>
    <cfRule type="expression" priority="10" aboveAverage="0" equalAverage="0" bottom="0" percent="0" rank="0" text="" dxfId="23">
      <formula>AND(M10=1,$F10="Em validação")</formula>
    </cfRule>
    <cfRule type="expression" priority="11" aboveAverage="0" equalAverage="0" bottom="0" percent="0" rank="0" text="" dxfId="24">
      <formula>AND(M10=1,$F10="Concluído")</formula>
    </cfRule>
    <cfRule type="expression" priority="12" aboveAverage="0" equalAverage="0" bottom="0" percent="0" rank="0" text="" dxfId="25">
      <formula>AND(M10=1,$F10="Bloqueado")</formula>
    </cfRule>
    <cfRule type="expression" priority="13" aboveAverage="0" equalAverage="0" bottom="0" percent="0" rank="0" text="" dxfId="26">
      <formula>AND(M10=1,$F10="Pausado")</formula>
    </cfRule>
    <cfRule type="expression" priority="14" aboveAverage="0" equalAverage="0" bottom="0" percent="0" rank="0" text="" dxfId="27">
      <formula>AND(M10=1,$F10="")</formula>
    </cfRule>
  </conditionalFormatting>
  <conditionalFormatting sqref="K10:K21">
    <cfRule type="containsText" priority="15" operator="containsText" aboveAverage="0" equalAverage="0" bottom="0" percent="0" rank="0" text="Rever datas" dxfId="28">
      <formula>NOT(ISERROR(SEARCH("Rever datas",K10)))</formula>
    </cfRule>
    <cfRule type="containsText" priority="16" operator="containsText" aboveAverage="0" equalAverage="0" bottom="0" percent="0" rank="0" text="Revisar" dxfId="29">
      <formula>NOT(ISERROR(SEARCH("Revisar",K10)))</formula>
    </cfRule>
  </conditionalFormatting>
  <dataValidations count="2">
    <dataValidation allowBlank="false" error="Selecione um dos seis status disponíveis no menu." errorStyle="stop" errorTitle="Escolha um status" operator="between" showDropDown="false" showErrorMessage="true" showInputMessage="false" sqref="F10:F21" type="list">
      <formula1>"A fazer,Em andamento,Em validação,Concluído,Bloqueado,Pausado"</formula1>
      <formula2>0</formula2>
    </dataValidation>
    <dataValidation allowBlank="false" error="Selecione Alta, Média ou Baixa no menu." errorStyle="stop" errorTitle="Escolha uma prioridade" operator="between" showDropDown="false" showErrorMessage="true" showInputMessage="false" sqref="G10:G21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B87"/>
    <pageSetUpPr fitToPage="false"/>
  </sheetPr>
  <dimension ref="A1:X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7.22"/>
    <col collapsed="false" customWidth="true" hidden="false" outlineLevel="0" max="3" min="3" style="0" width="15"/>
    <col collapsed="false" customWidth="true" hidden="false" outlineLevel="0" max="5" min="4" style="0" width="11.78"/>
    <col collapsed="false" customWidth="true" hidden="false" outlineLevel="0" max="6" min="6" style="0" width="15"/>
    <col collapsed="false" customWidth="true" hidden="false" outlineLevel="0" max="7" min="7" style="0" width="11.78"/>
    <col collapsed="false" customWidth="true" hidden="false" outlineLevel="0" max="8" min="8" style="0" width="12.78"/>
    <col collapsed="false" customWidth="true" hidden="false" outlineLevel="0" max="9" min="9" style="0" width="26.11"/>
    <col collapsed="false" customWidth="true" hidden="false" outlineLevel="0" max="10" min="10" style="0" width="27.22"/>
    <col collapsed="false" customWidth="true" hidden="false" outlineLevel="0" max="11" min="11" style="0" width="18.34"/>
    <col collapsed="false" customWidth="true" hidden="false" outlineLevel="0" max="12" min="12" style="0" width="2"/>
    <col collapsed="false" customWidth="true" hidden="false" outlineLevel="0" max="24" min="13" style="0" width="6.89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21" hidden="false" customHeight="true" outlineLevel="0" collapsed="false">
      <c r="A2" s="1"/>
      <c r="B2" s="2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customFormat="false" ht="21" hidden="false" customHeight="true" outlineLevel="0" collapsed="false">
      <c r="A3" s="1"/>
      <c r="B3" s="10" t="s">
        <v>32</v>
      </c>
      <c r="C3" s="1"/>
      <c r="D3" s="1"/>
      <c r="E3" s="1"/>
      <c r="F3" s="1"/>
      <c r="G3" s="1"/>
      <c r="H3" s="1"/>
      <c r="I3" s="9" t="s">
        <v>65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customFormat="false" ht="2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customFormat="false" ht="21" hidden="false" customHeight="true" outlineLevel="0" collapsed="false">
      <c r="A5" s="1"/>
      <c r="B5" s="1" t="s">
        <v>34</v>
      </c>
      <c r="C5" s="11"/>
      <c r="D5" s="1"/>
      <c r="E5" s="1"/>
      <c r="F5" s="1" t="s">
        <v>35</v>
      </c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customFormat="false" ht="21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customFormat="false" ht="21" hidden="false" customHeight="true" outlineLevel="0" collapsed="false">
      <c r="A7" s="1"/>
      <c r="B7" s="9" t="s">
        <v>36</v>
      </c>
      <c r="C7" s="9"/>
      <c r="D7" s="9"/>
      <c r="E7" s="9"/>
      <c r="F7" s="9" t="s">
        <v>37</v>
      </c>
      <c r="G7" s="9"/>
      <c r="H7" s="9"/>
      <c r="I7" s="9"/>
      <c r="J7" s="9" t="s">
        <v>38</v>
      </c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customFormat="false" ht="21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2" t="str">
        <f aca="false">IF($C$5="","",$C$5+0)</f>
        <v/>
      </c>
      <c r="N8" s="12" t="str">
        <f aca="false">IF($C$5="","",$C$5+7)</f>
        <v/>
      </c>
      <c r="O8" s="12" t="str">
        <f aca="false">IF($C$5="","",$C$5+14)</f>
        <v/>
      </c>
      <c r="P8" s="12" t="str">
        <f aca="false">IF($C$5="","",$C$5+21)</f>
        <v/>
      </c>
      <c r="Q8" s="12" t="str">
        <f aca="false">IF($C$5="","",$C$5+28)</f>
        <v/>
      </c>
      <c r="R8" s="12" t="str">
        <f aca="false">IF($C$5="","",$C$5+35)</f>
        <v/>
      </c>
      <c r="S8" s="12" t="str">
        <f aca="false">IF($C$5="","",$C$5+42)</f>
        <v/>
      </c>
      <c r="T8" s="12" t="str">
        <f aca="false">IF($C$5="","",$C$5+49)</f>
        <v/>
      </c>
      <c r="U8" s="12" t="str">
        <f aca="false">IF($C$5="","",$C$5+56)</f>
        <v/>
      </c>
      <c r="V8" s="12" t="str">
        <f aca="false">IF($C$5="","",$C$5+63)</f>
        <v/>
      </c>
      <c r="W8" s="12" t="str">
        <f aca="false">IF($C$5="","",$C$5+70)</f>
        <v/>
      </c>
      <c r="X8" s="12" t="str">
        <f aca="false">IF($C$5="","",$C$5+77)</f>
        <v/>
      </c>
    </row>
    <row r="9" customFormat="false" ht="36" hidden="false" customHeight="true" outlineLevel="0" collapsed="false">
      <c r="A9" s="1"/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47</v>
      </c>
      <c r="K9" s="4" t="s">
        <v>48</v>
      </c>
      <c r="L9" s="1"/>
      <c r="M9" s="4" t="s">
        <v>66</v>
      </c>
      <c r="N9" s="4" t="s">
        <v>67</v>
      </c>
      <c r="O9" s="4" t="s">
        <v>68</v>
      </c>
      <c r="P9" s="4" t="s">
        <v>69</v>
      </c>
      <c r="Q9" s="4" t="s">
        <v>70</v>
      </c>
      <c r="R9" s="4" t="s">
        <v>71</v>
      </c>
      <c r="S9" s="4" t="s">
        <v>72</v>
      </c>
      <c r="T9" s="4" t="s">
        <v>73</v>
      </c>
      <c r="U9" s="4" t="s">
        <v>74</v>
      </c>
      <c r="V9" s="4" t="s">
        <v>75</v>
      </c>
      <c r="W9" s="4" t="s">
        <v>76</v>
      </c>
      <c r="X9" s="4" t="s">
        <v>77</v>
      </c>
    </row>
    <row r="10" customFormat="false" ht="43" hidden="false" customHeight="true" outlineLevel="0" collapsed="false">
      <c r="A10" s="1"/>
      <c r="B10" s="13"/>
      <c r="C10" s="13"/>
      <c r="D10" s="14"/>
      <c r="E10" s="14"/>
      <c r="F10" s="15"/>
      <c r="G10" s="15"/>
      <c r="H10" s="13"/>
      <c r="I10" s="13"/>
      <c r="J10" s="13"/>
      <c r="K10" s="7" t="str">
        <f aca="false">IF(B10="","",IF(OR(D10="",E10=""),"Completar datas",IF(E10&lt;D10,"Rever datas",IF(AND(ISNUMBER($G$5),E10&lt;$G$5,F10&lt;&gt;"Concluído"),"Revisar prazo",""))))</f>
        <v/>
      </c>
      <c r="L10" s="1"/>
      <c r="M10" s="16" t="str">
        <f aca="false">IF(OR($B10="",$D10="",$E10="",M$8=""),"",IF(AND($E10&gt;=$D10,$D10&lt;=M$8+6,$E10&gt;=M$8),1,""))</f>
        <v/>
      </c>
      <c r="N10" s="16" t="str">
        <f aca="false">IF(OR($B10="",$D10="",$E10="",N$8=""),"",IF(AND($E10&gt;=$D10,$D10&lt;=N$8+6,$E10&gt;=N$8),1,""))</f>
        <v/>
      </c>
      <c r="O10" s="16" t="str">
        <f aca="false">IF(OR($B10="",$D10="",$E10="",O$8=""),"",IF(AND($E10&gt;=$D10,$D10&lt;=O$8+6,$E10&gt;=O$8),1,""))</f>
        <v/>
      </c>
      <c r="P10" s="16" t="str">
        <f aca="false">IF(OR($B10="",$D10="",$E10="",P$8=""),"",IF(AND($E10&gt;=$D10,$D10&lt;=P$8+6,$E10&gt;=P$8),1,""))</f>
        <v/>
      </c>
      <c r="Q10" s="16" t="str">
        <f aca="false">IF(OR($B10="",$D10="",$E10="",Q$8=""),"",IF(AND($E10&gt;=$D10,$D10&lt;=Q$8+6,$E10&gt;=Q$8),1,""))</f>
        <v/>
      </c>
      <c r="R10" s="16" t="str">
        <f aca="false">IF(OR($B10="",$D10="",$E10="",R$8=""),"",IF(AND($E10&gt;=$D10,$D10&lt;=R$8+6,$E10&gt;=R$8),1,""))</f>
        <v/>
      </c>
      <c r="S10" s="16" t="str">
        <f aca="false">IF(OR($B10="",$D10="",$E10="",S$8=""),"",IF(AND($E10&gt;=$D10,$D10&lt;=S$8+6,$E10&gt;=S$8),1,""))</f>
        <v/>
      </c>
      <c r="T10" s="16" t="str">
        <f aca="false">IF(OR($B10="",$D10="",$E10="",T$8=""),"",IF(AND($E10&gt;=$D10,$D10&lt;=T$8+6,$E10&gt;=T$8),1,""))</f>
        <v/>
      </c>
      <c r="U10" s="16" t="str">
        <f aca="false">IF(OR($B10="",$D10="",$E10="",U$8=""),"",IF(AND($E10&gt;=$D10,$D10&lt;=U$8+6,$E10&gt;=U$8),1,""))</f>
        <v/>
      </c>
      <c r="V10" s="16" t="str">
        <f aca="false">IF(OR($B10="",$D10="",$E10="",V$8=""),"",IF(AND($E10&gt;=$D10,$D10&lt;=V$8+6,$E10&gt;=V$8),1,""))</f>
        <v/>
      </c>
      <c r="W10" s="16" t="str">
        <f aca="false">IF(OR($B10="",$D10="",$E10="",W$8=""),"",IF(AND($E10&gt;=$D10,$D10&lt;=W$8+6,$E10&gt;=W$8),1,""))</f>
        <v/>
      </c>
      <c r="X10" s="16" t="str">
        <f aca="false">IF(OR($B10="",$D10="",$E10="",X$8=""),"",IF(AND($E10&gt;=$D10,$D10&lt;=X$8+6,$E10&gt;=X$8),1,""))</f>
        <v/>
      </c>
    </row>
    <row r="11" customFormat="false" ht="43" hidden="false" customHeight="true" outlineLevel="0" collapsed="false">
      <c r="A11" s="1"/>
      <c r="B11" s="13"/>
      <c r="C11" s="13"/>
      <c r="D11" s="14"/>
      <c r="E11" s="14"/>
      <c r="F11" s="15"/>
      <c r="G11" s="15"/>
      <c r="H11" s="13"/>
      <c r="I11" s="13"/>
      <c r="J11" s="13"/>
      <c r="K11" s="7" t="str">
        <f aca="false">IF(B11="","",IF(OR(D11="",E11=""),"Completar datas",IF(E11&lt;D11,"Rever datas",IF(AND(ISNUMBER($G$5),E11&lt;$G$5,F11&lt;&gt;"Concluído"),"Revisar prazo",""))))</f>
        <v/>
      </c>
      <c r="L11" s="1"/>
      <c r="M11" s="16" t="str">
        <f aca="false">IF(OR($B11="",$D11="",$E11="",M$8=""),"",IF(AND($E11&gt;=$D11,$D11&lt;=M$8+6,$E11&gt;=M$8),1,""))</f>
        <v/>
      </c>
      <c r="N11" s="16" t="str">
        <f aca="false">IF(OR($B11="",$D11="",$E11="",N$8=""),"",IF(AND($E11&gt;=$D11,$D11&lt;=N$8+6,$E11&gt;=N$8),1,""))</f>
        <v/>
      </c>
      <c r="O11" s="16" t="str">
        <f aca="false">IF(OR($B11="",$D11="",$E11="",O$8=""),"",IF(AND($E11&gt;=$D11,$D11&lt;=O$8+6,$E11&gt;=O$8),1,""))</f>
        <v/>
      </c>
      <c r="P11" s="16" t="str">
        <f aca="false">IF(OR($B11="",$D11="",$E11="",P$8=""),"",IF(AND($E11&gt;=$D11,$D11&lt;=P$8+6,$E11&gt;=P$8),1,""))</f>
        <v/>
      </c>
      <c r="Q11" s="16" t="str">
        <f aca="false">IF(OR($B11="",$D11="",$E11="",Q$8=""),"",IF(AND($E11&gt;=$D11,$D11&lt;=Q$8+6,$E11&gt;=Q$8),1,""))</f>
        <v/>
      </c>
      <c r="R11" s="16" t="str">
        <f aca="false">IF(OR($B11="",$D11="",$E11="",R$8=""),"",IF(AND($E11&gt;=$D11,$D11&lt;=R$8+6,$E11&gt;=R$8),1,""))</f>
        <v/>
      </c>
      <c r="S11" s="16" t="str">
        <f aca="false">IF(OR($B11="",$D11="",$E11="",S$8=""),"",IF(AND($E11&gt;=$D11,$D11&lt;=S$8+6,$E11&gt;=S$8),1,""))</f>
        <v/>
      </c>
      <c r="T11" s="16" t="str">
        <f aca="false">IF(OR($B11="",$D11="",$E11="",T$8=""),"",IF(AND($E11&gt;=$D11,$D11&lt;=T$8+6,$E11&gt;=T$8),1,""))</f>
        <v/>
      </c>
      <c r="U11" s="16" t="str">
        <f aca="false">IF(OR($B11="",$D11="",$E11="",U$8=""),"",IF(AND($E11&gt;=$D11,$D11&lt;=U$8+6,$E11&gt;=U$8),1,""))</f>
        <v/>
      </c>
      <c r="V11" s="16" t="str">
        <f aca="false">IF(OR($B11="",$D11="",$E11="",V$8=""),"",IF(AND($E11&gt;=$D11,$D11&lt;=V$8+6,$E11&gt;=V$8),1,""))</f>
        <v/>
      </c>
      <c r="W11" s="16" t="str">
        <f aca="false">IF(OR($B11="",$D11="",$E11="",W$8=""),"",IF(AND($E11&gt;=$D11,$D11&lt;=W$8+6,$E11&gt;=W$8),1,""))</f>
        <v/>
      </c>
      <c r="X11" s="16" t="str">
        <f aca="false">IF(OR($B11="",$D11="",$E11="",X$8=""),"",IF(AND($E11&gt;=$D11,$D11&lt;=X$8+6,$E11&gt;=X$8),1,""))</f>
        <v/>
      </c>
    </row>
    <row r="12" customFormat="false" ht="43" hidden="false" customHeight="true" outlineLevel="0" collapsed="false">
      <c r="A12" s="1"/>
      <c r="B12" s="13"/>
      <c r="C12" s="13"/>
      <c r="D12" s="14"/>
      <c r="E12" s="14"/>
      <c r="F12" s="15"/>
      <c r="G12" s="15"/>
      <c r="H12" s="13"/>
      <c r="I12" s="13"/>
      <c r="J12" s="13"/>
      <c r="K12" s="7" t="str">
        <f aca="false">IF(B12="","",IF(OR(D12="",E12=""),"Completar datas",IF(E12&lt;D12,"Rever datas",IF(AND(ISNUMBER($G$5),E12&lt;$G$5,F12&lt;&gt;"Concluído"),"Revisar prazo",""))))</f>
        <v/>
      </c>
      <c r="L12" s="1"/>
      <c r="M12" s="16" t="str">
        <f aca="false">IF(OR($B12="",$D12="",$E12="",M$8=""),"",IF(AND($E12&gt;=$D12,$D12&lt;=M$8+6,$E12&gt;=M$8),1,""))</f>
        <v/>
      </c>
      <c r="N12" s="16" t="str">
        <f aca="false">IF(OR($B12="",$D12="",$E12="",N$8=""),"",IF(AND($E12&gt;=$D12,$D12&lt;=N$8+6,$E12&gt;=N$8),1,""))</f>
        <v/>
      </c>
      <c r="O12" s="16" t="str">
        <f aca="false">IF(OR($B12="",$D12="",$E12="",O$8=""),"",IF(AND($E12&gt;=$D12,$D12&lt;=O$8+6,$E12&gt;=O$8),1,""))</f>
        <v/>
      </c>
      <c r="P12" s="16" t="str">
        <f aca="false">IF(OR($B12="",$D12="",$E12="",P$8=""),"",IF(AND($E12&gt;=$D12,$D12&lt;=P$8+6,$E12&gt;=P$8),1,""))</f>
        <v/>
      </c>
      <c r="Q12" s="16" t="str">
        <f aca="false">IF(OR($B12="",$D12="",$E12="",Q$8=""),"",IF(AND($E12&gt;=$D12,$D12&lt;=Q$8+6,$E12&gt;=Q$8),1,""))</f>
        <v/>
      </c>
      <c r="R12" s="16" t="str">
        <f aca="false">IF(OR($B12="",$D12="",$E12="",R$8=""),"",IF(AND($E12&gt;=$D12,$D12&lt;=R$8+6,$E12&gt;=R$8),1,""))</f>
        <v/>
      </c>
      <c r="S12" s="16" t="str">
        <f aca="false">IF(OR($B12="",$D12="",$E12="",S$8=""),"",IF(AND($E12&gt;=$D12,$D12&lt;=S$8+6,$E12&gt;=S$8),1,""))</f>
        <v/>
      </c>
      <c r="T12" s="16" t="str">
        <f aca="false">IF(OR($B12="",$D12="",$E12="",T$8=""),"",IF(AND($E12&gt;=$D12,$D12&lt;=T$8+6,$E12&gt;=T$8),1,""))</f>
        <v/>
      </c>
      <c r="U12" s="16" t="str">
        <f aca="false">IF(OR($B12="",$D12="",$E12="",U$8=""),"",IF(AND($E12&gt;=$D12,$D12&lt;=U$8+6,$E12&gt;=U$8),1,""))</f>
        <v/>
      </c>
      <c r="V12" s="16" t="str">
        <f aca="false">IF(OR($B12="",$D12="",$E12="",V$8=""),"",IF(AND($E12&gt;=$D12,$D12&lt;=V$8+6,$E12&gt;=V$8),1,""))</f>
        <v/>
      </c>
      <c r="W12" s="16" t="str">
        <f aca="false">IF(OR($B12="",$D12="",$E12="",W$8=""),"",IF(AND($E12&gt;=$D12,$D12&lt;=W$8+6,$E12&gt;=W$8),1,""))</f>
        <v/>
      </c>
      <c r="X12" s="16" t="str">
        <f aca="false">IF(OR($B12="",$D12="",$E12="",X$8=""),"",IF(AND($E12&gt;=$D12,$D12&lt;=X$8+6,$E12&gt;=X$8),1,""))</f>
        <v/>
      </c>
    </row>
    <row r="13" customFormat="false" ht="43" hidden="false" customHeight="true" outlineLevel="0" collapsed="false">
      <c r="A13" s="1"/>
      <c r="B13" s="13"/>
      <c r="C13" s="13"/>
      <c r="D13" s="14"/>
      <c r="E13" s="14"/>
      <c r="F13" s="15"/>
      <c r="G13" s="15"/>
      <c r="H13" s="13"/>
      <c r="I13" s="13"/>
      <c r="J13" s="13"/>
      <c r="K13" s="7" t="str">
        <f aca="false">IF(B13="","",IF(OR(D13="",E13=""),"Completar datas",IF(E13&lt;D13,"Rever datas",IF(AND(ISNUMBER($G$5),E13&lt;$G$5,F13&lt;&gt;"Concluído"),"Revisar prazo",""))))</f>
        <v/>
      </c>
      <c r="L13" s="1"/>
      <c r="M13" s="16" t="str">
        <f aca="false">IF(OR($B13="",$D13="",$E13="",M$8=""),"",IF(AND($E13&gt;=$D13,$D13&lt;=M$8+6,$E13&gt;=M$8),1,""))</f>
        <v/>
      </c>
      <c r="N13" s="16" t="str">
        <f aca="false">IF(OR($B13="",$D13="",$E13="",N$8=""),"",IF(AND($E13&gt;=$D13,$D13&lt;=N$8+6,$E13&gt;=N$8),1,""))</f>
        <v/>
      </c>
      <c r="O13" s="16" t="str">
        <f aca="false">IF(OR($B13="",$D13="",$E13="",O$8=""),"",IF(AND($E13&gt;=$D13,$D13&lt;=O$8+6,$E13&gt;=O$8),1,""))</f>
        <v/>
      </c>
      <c r="P13" s="16" t="str">
        <f aca="false">IF(OR($B13="",$D13="",$E13="",P$8=""),"",IF(AND($E13&gt;=$D13,$D13&lt;=P$8+6,$E13&gt;=P$8),1,""))</f>
        <v/>
      </c>
      <c r="Q13" s="16" t="str">
        <f aca="false">IF(OR($B13="",$D13="",$E13="",Q$8=""),"",IF(AND($E13&gt;=$D13,$D13&lt;=Q$8+6,$E13&gt;=Q$8),1,""))</f>
        <v/>
      </c>
      <c r="R13" s="16" t="str">
        <f aca="false">IF(OR($B13="",$D13="",$E13="",R$8=""),"",IF(AND($E13&gt;=$D13,$D13&lt;=R$8+6,$E13&gt;=R$8),1,""))</f>
        <v/>
      </c>
      <c r="S13" s="16" t="str">
        <f aca="false">IF(OR($B13="",$D13="",$E13="",S$8=""),"",IF(AND($E13&gt;=$D13,$D13&lt;=S$8+6,$E13&gt;=S$8),1,""))</f>
        <v/>
      </c>
      <c r="T13" s="16" t="str">
        <f aca="false">IF(OR($B13="",$D13="",$E13="",T$8=""),"",IF(AND($E13&gt;=$D13,$D13&lt;=T$8+6,$E13&gt;=T$8),1,""))</f>
        <v/>
      </c>
      <c r="U13" s="16" t="str">
        <f aca="false">IF(OR($B13="",$D13="",$E13="",U$8=""),"",IF(AND($E13&gt;=$D13,$D13&lt;=U$8+6,$E13&gt;=U$8),1,""))</f>
        <v/>
      </c>
      <c r="V13" s="16" t="str">
        <f aca="false">IF(OR($B13="",$D13="",$E13="",V$8=""),"",IF(AND($E13&gt;=$D13,$D13&lt;=V$8+6,$E13&gt;=V$8),1,""))</f>
        <v/>
      </c>
      <c r="W13" s="16" t="str">
        <f aca="false">IF(OR($B13="",$D13="",$E13="",W$8=""),"",IF(AND($E13&gt;=$D13,$D13&lt;=W$8+6,$E13&gt;=W$8),1,""))</f>
        <v/>
      </c>
      <c r="X13" s="16" t="str">
        <f aca="false">IF(OR($B13="",$D13="",$E13="",X$8=""),"",IF(AND($E13&gt;=$D13,$D13&lt;=X$8+6,$E13&gt;=X$8),1,""))</f>
        <v/>
      </c>
    </row>
    <row r="14" customFormat="false" ht="43" hidden="false" customHeight="true" outlineLevel="0" collapsed="false">
      <c r="A14" s="1"/>
      <c r="B14" s="13"/>
      <c r="C14" s="13"/>
      <c r="D14" s="14"/>
      <c r="E14" s="14"/>
      <c r="F14" s="15"/>
      <c r="G14" s="15"/>
      <c r="H14" s="13"/>
      <c r="I14" s="13"/>
      <c r="J14" s="13"/>
      <c r="K14" s="7" t="str">
        <f aca="false">IF(B14="","",IF(OR(D14="",E14=""),"Completar datas",IF(E14&lt;D14,"Rever datas",IF(AND(ISNUMBER($G$5),E14&lt;$G$5,F14&lt;&gt;"Concluído"),"Revisar prazo",""))))</f>
        <v/>
      </c>
      <c r="L14" s="1"/>
      <c r="M14" s="16" t="str">
        <f aca="false">IF(OR($B14="",$D14="",$E14="",M$8=""),"",IF(AND($E14&gt;=$D14,$D14&lt;=M$8+6,$E14&gt;=M$8),1,""))</f>
        <v/>
      </c>
      <c r="N14" s="16" t="str">
        <f aca="false">IF(OR($B14="",$D14="",$E14="",N$8=""),"",IF(AND($E14&gt;=$D14,$D14&lt;=N$8+6,$E14&gt;=N$8),1,""))</f>
        <v/>
      </c>
      <c r="O14" s="16" t="str">
        <f aca="false">IF(OR($B14="",$D14="",$E14="",O$8=""),"",IF(AND($E14&gt;=$D14,$D14&lt;=O$8+6,$E14&gt;=O$8),1,""))</f>
        <v/>
      </c>
      <c r="P14" s="16" t="str">
        <f aca="false">IF(OR($B14="",$D14="",$E14="",P$8=""),"",IF(AND($E14&gt;=$D14,$D14&lt;=P$8+6,$E14&gt;=P$8),1,""))</f>
        <v/>
      </c>
      <c r="Q14" s="16" t="str">
        <f aca="false">IF(OR($B14="",$D14="",$E14="",Q$8=""),"",IF(AND($E14&gt;=$D14,$D14&lt;=Q$8+6,$E14&gt;=Q$8),1,""))</f>
        <v/>
      </c>
      <c r="R14" s="16" t="str">
        <f aca="false">IF(OR($B14="",$D14="",$E14="",R$8=""),"",IF(AND($E14&gt;=$D14,$D14&lt;=R$8+6,$E14&gt;=R$8),1,""))</f>
        <v/>
      </c>
      <c r="S14" s="16" t="str">
        <f aca="false">IF(OR($B14="",$D14="",$E14="",S$8=""),"",IF(AND($E14&gt;=$D14,$D14&lt;=S$8+6,$E14&gt;=S$8),1,""))</f>
        <v/>
      </c>
      <c r="T14" s="16" t="str">
        <f aca="false">IF(OR($B14="",$D14="",$E14="",T$8=""),"",IF(AND($E14&gt;=$D14,$D14&lt;=T$8+6,$E14&gt;=T$8),1,""))</f>
        <v/>
      </c>
      <c r="U14" s="16" t="str">
        <f aca="false">IF(OR($B14="",$D14="",$E14="",U$8=""),"",IF(AND($E14&gt;=$D14,$D14&lt;=U$8+6,$E14&gt;=U$8),1,""))</f>
        <v/>
      </c>
      <c r="V14" s="16" t="str">
        <f aca="false">IF(OR($B14="",$D14="",$E14="",V$8=""),"",IF(AND($E14&gt;=$D14,$D14&lt;=V$8+6,$E14&gt;=V$8),1,""))</f>
        <v/>
      </c>
      <c r="W14" s="16" t="str">
        <f aca="false">IF(OR($B14="",$D14="",$E14="",W$8=""),"",IF(AND($E14&gt;=$D14,$D14&lt;=W$8+6,$E14&gt;=W$8),1,""))</f>
        <v/>
      </c>
      <c r="X14" s="16" t="str">
        <f aca="false">IF(OR($B14="",$D14="",$E14="",X$8=""),"",IF(AND($E14&gt;=$D14,$D14&lt;=X$8+6,$E14&gt;=X$8),1,""))</f>
        <v/>
      </c>
    </row>
    <row r="15" customFormat="false" ht="43" hidden="false" customHeight="true" outlineLevel="0" collapsed="false">
      <c r="A15" s="1"/>
      <c r="B15" s="13"/>
      <c r="C15" s="13"/>
      <c r="D15" s="14"/>
      <c r="E15" s="14"/>
      <c r="F15" s="15"/>
      <c r="G15" s="15"/>
      <c r="H15" s="13"/>
      <c r="I15" s="13"/>
      <c r="J15" s="13"/>
      <c r="K15" s="7" t="str">
        <f aca="false">IF(B15="","",IF(OR(D15="",E15=""),"Completar datas",IF(E15&lt;D15,"Rever datas",IF(AND(ISNUMBER($G$5),E15&lt;$G$5,F15&lt;&gt;"Concluído"),"Revisar prazo",""))))</f>
        <v/>
      </c>
      <c r="L15" s="1"/>
      <c r="M15" s="16" t="str">
        <f aca="false">IF(OR($B15="",$D15="",$E15="",M$8=""),"",IF(AND($E15&gt;=$D15,$D15&lt;=M$8+6,$E15&gt;=M$8),1,""))</f>
        <v/>
      </c>
      <c r="N15" s="16" t="str">
        <f aca="false">IF(OR($B15="",$D15="",$E15="",N$8=""),"",IF(AND($E15&gt;=$D15,$D15&lt;=N$8+6,$E15&gt;=N$8),1,""))</f>
        <v/>
      </c>
      <c r="O15" s="16" t="str">
        <f aca="false">IF(OR($B15="",$D15="",$E15="",O$8=""),"",IF(AND($E15&gt;=$D15,$D15&lt;=O$8+6,$E15&gt;=O$8),1,""))</f>
        <v/>
      </c>
      <c r="P15" s="16" t="str">
        <f aca="false">IF(OR($B15="",$D15="",$E15="",P$8=""),"",IF(AND($E15&gt;=$D15,$D15&lt;=P$8+6,$E15&gt;=P$8),1,""))</f>
        <v/>
      </c>
      <c r="Q15" s="16" t="str">
        <f aca="false">IF(OR($B15="",$D15="",$E15="",Q$8=""),"",IF(AND($E15&gt;=$D15,$D15&lt;=Q$8+6,$E15&gt;=Q$8),1,""))</f>
        <v/>
      </c>
      <c r="R15" s="16" t="str">
        <f aca="false">IF(OR($B15="",$D15="",$E15="",R$8=""),"",IF(AND($E15&gt;=$D15,$D15&lt;=R$8+6,$E15&gt;=R$8),1,""))</f>
        <v/>
      </c>
      <c r="S15" s="16" t="str">
        <f aca="false">IF(OR($B15="",$D15="",$E15="",S$8=""),"",IF(AND($E15&gt;=$D15,$D15&lt;=S$8+6,$E15&gt;=S$8),1,""))</f>
        <v/>
      </c>
      <c r="T15" s="16" t="str">
        <f aca="false">IF(OR($B15="",$D15="",$E15="",T$8=""),"",IF(AND($E15&gt;=$D15,$D15&lt;=T$8+6,$E15&gt;=T$8),1,""))</f>
        <v/>
      </c>
      <c r="U15" s="16" t="str">
        <f aca="false">IF(OR($B15="",$D15="",$E15="",U$8=""),"",IF(AND($E15&gt;=$D15,$D15&lt;=U$8+6,$E15&gt;=U$8),1,""))</f>
        <v/>
      </c>
      <c r="V15" s="16" t="str">
        <f aca="false">IF(OR($B15="",$D15="",$E15="",V$8=""),"",IF(AND($E15&gt;=$D15,$D15&lt;=V$8+6,$E15&gt;=V$8),1,""))</f>
        <v/>
      </c>
      <c r="W15" s="16" t="str">
        <f aca="false">IF(OR($B15="",$D15="",$E15="",W$8=""),"",IF(AND($E15&gt;=$D15,$D15&lt;=W$8+6,$E15&gt;=W$8),1,""))</f>
        <v/>
      </c>
      <c r="X15" s="16" t="str">
        <f aca="false">IF(OR($B15="",$D15="",$E15="",X$8=""),"",IF(AND($E15&gt;=$D15,$D15&lt;=X$8+6,$E15&gt;=X$8),1,""))</f>
        <v/>
      </c>
    </row>
    <row r="16" customFormat="false" ht="43" hidden="false" customHeight="true" outlineLevel="0" collapsed="false">
      <c r="A16" s="1"/>
      <c r="B16" s="13"/>
      <c r="C16" s="13"/>
      <c r="D16" s="14"/>
      <c r="E16" s="14"/>
      <c r="F16" s="15"/>
      <c r="G16" s="15"/>
      <c r="H16" s="13"/>
      <c r="I16" s="13"/>
      <c r="J16" s="13"/>
      <c r="K16" s="7" t="str">
        <f aca="false">IF(B16="","",IF(OR(D16="",E16=""),"Completar datas",IF(E16&lt;D16,"Rever datas",IF(AND(ISNUMBER($G$5),E16&lt;$G$5,F16&lt;&gt;"Concluído"),"Revisar prazo",""))))</f>
        <v/>
      </c>
      <c r="L16" s="1"/>
      <c r="M16" s="16" t="str">
        <f aca="false">IF(OR($B16="",$D16="",$E16="",M$8=""),"",IF(AND($E16&gt;=$D16,$D16&lt;=M$8+6,$E16&gt;=M$8),1,""))</f>
        <v/>
      </c>
      <c r="N16" s="16" t="str">
        <f aca="false">IF(OR($B16="",$D16="",$E16="",N$8=""),"",IF(AND($E16&gt;=$D16,$D16&lt;=N$8+6,$E16&gt;=N$8),1,""))</f>
        <v/>
      </c>
      <c r="O16" s="16" t="str">
        <f aca="false">IF(OR($B16="",$D16="",$E16="",O$8=""),"",IF(AND($E16&gt;=$D16,$D16&lt;=O$8+6,$E16&gt;=O$8),1,""))</f>
        <v/>
      </c>
      <c r="P16" s="16" t="str">
        <f aca="false">IF(OR($B16="",$D16="",$E16="",P$8=""),"",IF(AND($E16&gt;=$D16,$D16&lt;=P$8+6,$E16&gt;=P$8),1,""))</f>
        <v/>
      </c>
      <c r="Q16" s="16" t="str">
        <f aca="false">IF(OR($B16="",$D16="",$E16="",Q$8=""),"",IF(AND($E16&gt;=$D16,$D16&lt;=Q$8+6,$E16&gt;=Q$8),1,""))</f>
        <v/>
      </c>
      <c r="R16" s="16" t="str">
        <f aca="false">IF(OR($B16="",$D16="",$E16="",R$8=""),"",IF(AND($E16&gt;=$D16,$D16&lt;=R$8+6,$E16&gt;=R$8),1,""))</f>
        <v/>
      </c>
      <c r="S16" s="16" t="str">
        <f aca="false">IF(OR($B16="",$D16="",$E16="",S$8=""),"",IF(AND($E16&gt;=$D16,$D16&lt;=S$8+6,$E16&gt;=S$8),1,""))</f>
        <v/>
      </c>
      <c r="T16" s="16" t="str">
        <f aca="false">IF(OR($B16="",$D16="",$E16="",T$8=""),"",IF(AND($E16&gt;=$D16,$D16&lt;=T$8+6,$E16&gt;=T$8),1,""))</f>
        <v/>
      </c>
      <c r="U16" s="16" t="str">
        <f aca="false">IF(OR($B16="",$D16="",$E16="",U$8=""),"",IF(AND($E16&gt;=$D16,$D16&lt;=U$8+6,$E16&gt;=U$8),1,""))</f>
        <v/>
      </c>
      <c r="V16" s="16" t="str">
        <f aca="false">IF(OR($B16="",$D16="",$E16="",V$8=""),"",IF(AND($E16&gt;=$D16,$D16&lt;=V$8+6,$E16&gt;=V$8),1,""))</f>
        <v/>
      </c>
      <c r="W16" s="16" t="str">
        <f aca="false">IF(OR($B16="",$D16="",$E16="",W$8=""),"",IF(AND($E16&gt;=$D16,$D16&lt;=W$8+6,$E16&gt;=W$8),1,""))</f>
        <v/>
      </c>
      <c r="X16" s="16" t="str">
        <f aca="false">IF(OR($B16="",$D16="",$E16="",X$8=""),"",IF(AND($E16&gt;=$D16,$D16&lt;=X$8+6,$E16&gt;=X$8),1,""))</f>
        <v/>
      </c>
    </row>
    <row r="17" customFormat="false" ht="43" hidden="false" customHeight="true" outlineLevel="0" collapsed="false">
      <c r="A17" s="1"/>
      <c r="B17" s="13"/>
      <c r="C17" s="13"/>
      <c r="D17" s="14"/>
      <c r="E17" s="14"/>
      <c r="F17" s="15"/>
      <c r="G17" s="15"/>
      <c r="H17" s="13"/>
      <c r="I17" s="13"/>
      <c r="J17" s="13"/>
      <c r="K17" s="7" t="str">
        <f aca="false">IF(B17="","",IF(OR(D17="",E17=""),"Completar datas",IF(E17&lt;D17,"Rever datas",IF(AND(ISNUMBER($G$5),E17&lt;$G$5,F17&lt;&gt;"Concluído"),"Revisar prazo",""))))</f>
        <v/>
      </c>
      <c r="L17" s="1"/>
      <c r="M17" s="16" t="str">
        <f aca="false">IF(OR($B17="",$D17="",$E17="",M$8=""),"",IF(AND($E17&gt;=$D17,$D17&lt;=M$8+6,$E17&gt;=M$8),1,""))</f>
        <v/>
      </c>
      <c r="N17" s="16" t="str">
        <f aca="false">IF(OR($B17="",$D17="",$E17="",N$8=""),"",IF(AND($E17&gt;=$D17,$D17&lt;=N$8+6,$E17&gt;=N$8),1,""))</f>
        <v/>
      </c>
      <c r="O17" s="16" t="str">
        <f aca="false">IF(OR($B17="",$D17="",$E17="",O$8=""),"",IF(AND($E17&gt;=$D17,$D17&lt;=O$8+6,$E17&gt;=O$8),1,""))</f>
        <v/>
      </c>
      <c r="P17" s="16" t="str">
        <f aca="false">IF(OR($B17="",$D17="",$E17="",P$8=""),"",IF(AND($E17&gt;=$D17,$D17&lt;=P$8+6,$E17&gt;=P$8),1,""))</f>
        <v/>
      </c>
      <c r="Q17" s="16" t="str">
        <f aca="false">IF(OR($B17="",$D17="",$E17="",Q$8=""),"",IF(AND($E17&gt;=$D17,$D17&lt;=Q$8+6,$E17&gt;=Q$8),1,""))</f>
        <v/>
      </c>
      <c r="R17" s="16" t="str">
        <f aca="false">IF(OR($B17="",$D17="",$E17="",R$8=""),"",IF(AND($E17&gt;=$D17,$D17&lt;=R$8+6,$E17&gt;=R$8),1,""))</f>
        <v/>
      </c>
      <c r="S17" s="16" t="str">
        <f aca="false">IF(OR($B17="",$D17="",$E17="",S$8=""),"",IF(AND($E17&gt;=$D17,$D17&lt;=S$8+6,$E17&gt;=S$8),1,""))</f>
        <v/>
      </c>
      <c r="T17" s="16" t="str">
        <f aca="false">IF(OR($B17="",$D17="",$E17="",T$8=""),"",IF(AND($E17&gt;=$D17,$D17&lt;=T$8+6,$E17&gt;=T$8),1,""))</f>
        <v/>
      </c>
      <c r="U17" s="16" t="str">
        <f aca="false">IF(OR($B17="",$D17="",$E17="",U$8=""),"",IF(AND($E17&gt;=$D17,$D17&lt;=U$8+6,$E17&gt;=U$8),1,""))</f>
        <v/>
      </c>
      <c r="V17" s="16" t="str">
        <f aca="false">IF(OR($B17="",$D17="",$E17="",V$8=""),"",IF(AND($E17&gt;=$D17,$D17&lt;=V$8+6,$E17&gt;=V$8),1,""))</f>
        <v/>
      </c>
      <c r="W17" s="16" t="str">
        <f aca="false">IF(OR($B17="",$D17="",$E17="",W$8=""),"",IF(AND($E17&gt;=$D17,$D17&lt;=W$8+6,$E17&gt;=W$8),1,""))</f>
        <v/>
      </c>
      <c r="X17" s="16" t="str">
        <f aca="false">IF(OR($B17="",$D17="",$E17="",X$8=""),"",IF(AND($E17&gt;=$D17,$D17&lt;=X$8+6,$E17&gt;=X$8),1,""))</f>
        <v/>
      </c>
    </row>
    <row r="18" customFormat="false" ht="43" hidden="false" customHeight="true" outlineLevel="0" collapsed="false">
      <c r="A18" s="1"/>
      <c r="B18" s="13"/>
      <c r="C18" s="13"/>
      <c r="D18" s="14"/>
      <c r="E18" s="14"/>
      <c r="F18" s="15"/>
      <c r="G18" s="15"/>
      <c r="H18" s="13"/>
      <c r="I18" s="13"/>
      <c r="J18" s="13"/>
      <c r="K18" s="7" t="str">
        <f aca="false">IF(B18="","",IF(OR(D18="",E18=""),"Completar datas",IF(E18&lt;D18,"Rever datas",IF(AND(ISNUMBER($G$5),E18&lt;$G$5,F18&lt;&gt;"Concluído"),"Revisar prazo",""))))</f>
        <v/>
      </c>
      <c r="L18" s="1"/>
      <c r="M18" s="16" t="str">
        <f aca="false">IF(OR($B18="",$D18="",$E18="",M$8=""),"",IF(AND($E18&gt;=$D18,$D18&lt;=M$8+6,$E18&gt;=M$8),1,""))</f>
        <v/>
      </c>
      <c r="N18" s="16" t="str">
        <f aca="false">IF(OR($B18="",$D18="",$E18="",N$8=""),"",IF(AND($E18&gt;=$D18,$D18&lt;=N$8+6,$E18&gt;=N$8),1,""))</f>
        <v/>
      </c>
      <c r="O18" s="16" t="str">
        <f aca="false">IF(OR($B18="",$D18="",$E18="",O$8=""),"",IF(AND($E18&gt;=$D18,$D18&lt;=O$8+6,$E18&gt;=O$8),1,""))</f>
        <v/>
      </c>
      <c r="P18" s="16" t="str">
        <f aca="false">IF(OR($B18="",$D18="",$E18="",P$8=""),"",IF(AND($E18&gt;=$D18,$D18&lt;=P$8+6,$E18&gt;=P$8),1,""))</f>
        <v/>
      </c>
      <c r="Q18" s="16" t="str">
        <f aca="false">IF(OR($B18="",$D18="",$E18="",Q$8=""),"",IF(AND($E18&gt;=$D18,$D18&lt;=Q$8+6,$E18&gt;=Q$8),1,""))</f>
        <v/>
      </c>
      <c r="R18" s="16" t="str">
        <f aca="false">IF(OR($B18="",$D18="",$E18="",R$8=""),"",IF(AND($E18&gt;=$D18,$D18&lt;=R$8+6,$E18&gt;=R$8),1,""))</f>
        <v/>
      </c>
      <c r="S18" s="16" t="str">
        <f aca="false">IF(OR($B18="",$D18="",$E18="",S$8=""),"",IF(AND($E18&gt;=$D18,$D18&lt;=S$8+6,$E18&gt;=S$8),1,""))</f>
        <v/>
      </c>
      <c r="T18" s="16" t="str">
        <f aca="false">IF(OR($B18="",$D18="",$E18="",T$8=""),"",IF(AND($E18&gt;=$D18,$D18&lt;=T$8+6,$E18&gt;=T$8),1,""))</f>
        <v/>
      </c>
      <c r="U18" s="16" t="str">
        <f aca="false">IF(OR($B18="",$D18="",$E18="",U$8=""),"",IF(AND($E18&gt;=$D18,$D18&lt;=U$8+6,$E18&gt;=U$8),1,""))</f>
        <v/>
      </c>
      <c r="V18" s="16" t="str">
        <f aca="false">IF(OR($B18="",$D18="",$E18="",V$8=""),"",IF(AND($E18&gt;=$D18,$D18&lt;=V$8+6,$E18&gt;=V$8),1,""))</f>
        <v/>
      </c>
      <c r="W18" s="16" t="str">
        <f aca="false">IF(OR($B18="",$D18="",$E18="",W$8=""),"",IF(AND($E18&gt;=$D18,$D18&lt;=W$8+6,$E18&gt;=W$8),1,""))</f>
        <v/>
      </c>
      <c r="X18" s="16" t="str">
        <f aca="false">IF(OR($B18="",$D18="",$E18="",X$8=""),"",IF(AND($E18&gt;=$D18,$D18&lt;=X$8+6,$E18&gt;=X$8),1,""))</f>
        <v/>
      </c>
    </row>
    <row r="19" customFormat="false" ht="43" hidden="false" customHeight="true" outlineLevel="0" collapsed="false">
      <c r="A19" s="1"/>
      <c r="B19" s="13"/>
      <c r="C19" s="13"/>
      <c r="D19" s="14"/>
      <c r="E19" s="14"/>
      <c r="F19" s="15"/>
      <c r="G19" s="15"/>
      <c r="H19" s="13"/>
      <c r="I19" s="13"/>
      <c r="J19" s="13"/>
      <c r="K19" s="7" t="str">
        <f aca="false">IF(B19="","",IF(OR(D19="",E19=""),"Completar datas",IF(E19&lt;D19,"Rever datas",IF(AND(ISNUMBER($G$5),E19&lt;$G$5,F19&lt;&gt;"Concluído"),"Revisar prazo",""))))</f>
        <v/>
      </c>
      <c r="L19" s="1"/>
      <c r="M19" s="16" t="str">
        <f aca="false">IF(OR($B19="",$D19="",$E19="",M$8=""),"",IF(AND($E19&gt;=$D19,$D19&lt;=M$8+6,$E19&gt;=M$8),1,""))</f>
        <v/>
      </c>
      <c r="N19" s="16" t="str">
        <f aca="false">IF(OR($B19="",$D19="",$E19="",N$8=""),"",IF(AND($E19&gt;=$D19,$D19&lt;=N$8+6,$E19&gt;=N$8),1,""))</f>
        <v/>
      </c>
      <c r="O19" s="16" t="str">
        <f aca="false">IF(OR($B19="",$D19="",$E19="",O$8=""),"",IF(AND($E19&gt;=$D19,$D19&lt;=O$8+6,$E19&gt;=O$8),1,""))</f>
        <v/>
      </c>
      <c r="P19" s="16" t="str">
        <f aca="false">IF(OR($B19="",$D19="",$E19="",P$8=""),"",IF(AND($E19&gt;=$D19,$D19&lt;=P$8+6,$E19&gt;=P$8),1,""))</f>
        <v/>
      </c>
      <c r="Q19" s="16" t="str">
        <f aca="false">IF(OR($B19="",$D19="",$E19="",Q$8=""),"",IF(AND($E19&gt;=$D19,$D19&lt;=Q$8+6,$E19&gt;=Q$8),1,""))</f>
        <v/>
      </c>
      <c r="R19" s="16" t="str">
        <f aca="false">IF(OR($B19="",$D19="",$E19="",R$8=""),"",IF(AND($E19&gt;=$D19,$D19&lt;=R$8+6,$E19&gt;=R$8),1,""))</f>
        <v/>
      </c>
      <c r="S19" s="16" t="str">
        <f aca="false">IF(OR($B19="",$D19="",$E19="",S$8=""),"",IF(AND($E19&gt;=$D19,$D19&lt;=S$8+6,$E19&gt;=S$8),1,""))</f>
        <v/>
      </c>
      <c r="T19" s="16" t="str">
        <f aca="false">IF(OR($B19="",$D19="",$E19="",T$8=""),"",IF(AND($E19&gt;=$D19,$D19&lt;=T$8+6,$E19&gt;=T$8),1,""))</f>
        <v/>
      </c>
      <c r="U19" s="16" t="str">
        <f aca="false">IF(OR($B19="",$D19="",$E19="",U$8=""),"",IF(AND($E19&gt;=$D19,$D19&lt;=U$8+6,$E19&gt;=U$8),1,""))</f>
        <v/>
      </c>
      <c r="V19" s="16" t="str">
        <f aca="false">IF(OR($B19="",$D19="",$E19="",V$8=""),"",IF(AND($E19&gt;=$D19,$D19&lt;=V$8+6,$E19&gt;=V$8),1,""))</f>
        <v/>
      </c>
      <c r="W19" s="16" t="str">
        <f aca="false">IF(OR($B19="",$D19="",$E19="",W$8=""),"",IF(AND($E19&gt;=$D19,$D19&lt;=W$8+6,$E19&gt;=W$8),1,""))</f>
        <v/>
      </c>
      <c r="X19" s="16" t="str">
        <f aca="false">IF(OR($B19="",$D19="",$E19="",X$8=""),"",IF(AND($E19&gt;=$D19,$D19&lt;=X$8+6,$E19&gt;=X$8),1,""))</f>
        <v/>
      </c>
    </row>
    <row r="20" customFormat="false" ht="43" hidden="false" customHeight="true" outlineLevel="0" collapsed="false">
      <c r="A20" s="1"/>
      <c r="B20" s="13"/>
      <c r="C20" s="13"/>
      <c r="D20" s="14"/>
      <c r="E20" s="14"/>
      <c r="F20" s="15"/>
      <c r="G20" s="15"/>
      <c r="H20" s="13"/>
      <c r="I20" s="13"/>
      <c r="J20" s="13"/>
      <c r="K20" s="7" t="str">
        <f aca="false">IF(B20="","",IF(OR(D20="",E20=""),"Completar datas",IF(E20&lt;D20,"Rever datas",IF(AND(ISNUMBER($G$5),E20&lt;$G$5,F20&lt;&gt;"Concluído"),"Revisar prazo",""))))</f>
        <v/>
      </c>
      <c r="L20" s="1"/>
      <c r="M20" s="16" t="str">
        <f aca="false">IF(OR($B20="",$D20="",$E20="",M$8=""),"",IF(AND($E20&gt;=$D20,$D20&lt;=M$8+6,$E20&gt;=M$8),1,""))</f>
        <v/>
      </c>
      <c r="N20" s="16" t="str">
        <f aca="false">IF(OR($B20="",$D20="",$E20="",N$8=""),"",IF(AND($E20&gt;=$D20,$D20&lt;=N$8+6,$E20&gt;=N$8),1,""))</f>
        <v/>
      </c>
      <c r="O20" s="16" t="str">
        <f aca="false">IF(OR($B20="",$D20="",$E20="",O$8=""),"",IF(AND($E20&gt;=$D20,$D20&lt;=O$8+6,$E20&gt;=O$8),1,""))</f>
        <v/>
      </c>
      <c r="P20" s="16" t="str">
        <f aca="false">IF(OR($B20="",$D20="",$E20="",P$8=""),"",IF(AND($E20&gt;=$D20,$D20&lt;=P$8+6,$E20&gt;=P$8),1,""))</f>
        <v/>
      </c>
      <c r="Q20" s="16" t="str">
        <f aca="false">IF(OR($B20="",$D20="",$E20="",Q$8=""),"",IF(AND($E20&gt;=$D20,$D20&lt;=Q$8+6,$E20&gt;=Q$8),1,""))</f>
        <v/>
      </c>
      <c r="R20" s="16" t="str">
        <f aca="false">IF(OR($B20="",$D20="",$E20="",R$8=""),"",IF(AND($E20&gt;=$D20,$D20&lt;=R$8+6,$E20&gt;=R$8),1,""))</f>
        <v/>
      </c>
      <c r="S20" s="16" t="str">
        <f aca="false">IF(OR($B20="",$D20="",$E20="",S$8=""),"",IF(AND($E20&gt;=$D20,$D20&lt;=S$8+6,$E20&gt;=S$8),1,""))</f>
        <v/>
      </c>
      <c r="T20" s="16" t="str">
        <f aca="false">IF(OR($B20="",$D20="",$E20="",T$8=""),"",IF(AND($E20&gt;=$D20,$D20&lt;=T$8+6,$E20&gt;=T$8),1,""))</f>
        <v/>
      </c>
      <c r="U20" s="16" t="str">
        <f aca="false">IF(OR($B20="",$D20="",$E20="",U$8=""),"",IF(AND($E20&gt;=$D20,$D20&lt;=U$8+6,$E20&gt;=U$8),1,""))</f>
        <v/>
      </c>
      <c r="V20" s="16" t="str">
        <f aca="false">IF(OR($B20="",$D20="",$E20="",V$8=""),"",IF(AND($E20&gt;=$D20,$D20&lt;=V$8+6,$E20&gt;=V$8),1,""))</f>
        <v/>
      </c>
      <c r="W20" s="16" t="str">
        <f aca="false">IF(OR($B20="",$D20="",$E20="",W$8=""),"",IF(AND($E20&gt;=$D20,$D20&lt;=W$8+6,$E20&gt;=W$8),1,""))</f>
        <v/>
      </c>
      <c r="X20" s="16" t="str">
        <f aca="false">IF(OR($B20="",$D20="",$E20="",X$8=""),"",IF(AND($E20&gt;=$D20,$D20&lt;=X$8+6,$E20&gt;=X$8),1,""))</f>
        <v/>
      </c>
    </row>
    <row r="21" customFormat="false" ht="43" hidden="false" customHeight="true" outlineLevel="0" collapsed="false">
      <c r="A21" s="1"/>
      <c r="B21" s="13"/>
      <c r="C21" s="13"/>
      <c r="D21" s="14"/>
      <c r="E21" s="14"/>
      <c r="F21" s="15"/>
      <c r="G21" s="15"/>
      <c r="H21" s="13"/>
      <c r="I21" s="13"/>
      <c r="J21" s="13"/>
      <c r="K21" s="7" t="str">
        <f aca="false">IF(B21="","",IF(OR(D21="",E21=""),"Completar datas",IF(E21&lt;D21,"Rever datas",IF(AND(ISNUMBER($G$5),E21&lt;$G$5,F21&lt;&gt;"Concluído"),"Revisar prazo",""))))</f>
        <v/>
      </c>
      <c r="L21" s="1"/>
      <c r="M21" s="16" t="str">
        <f aca="false">IF(OR($B21="",$D21="",$E21="",M$8=""),"",IF(AND($E21&gt;=$D21,$D21&lt;=M$8+6,$E21&gt;=M$8),1,""))</f>
        <v/>
      </c>
      <c r="N21" s="16" t="str">
        <f aca="false">IF(OR($B21="",$D21="",$E21="",N$8=""),"",IF(AND($E21&gt;=$D21,$D21&lt;=N$8+6,$E21&gt;=N$8),1,""))</f>
        <v/>
      </c>
      <c r="O21" s="16" t="str">
        <f aca="false">IF(OR($B21="",$D21="",$E21="",O$8=""),"",IF(AND($E21&gt;=$D21,$D21&lt;=O$8+6,$E21&gt;=O$8),1,""))</f>
        <v/>
      </c>
      <c r="P21" s="16" t="str">
        <f aca="false">IF(OR($B21="",$D21="",$E21="",P$8=""),"",IF(AND($E21&gt;=$D21,$D21&lt;=P$8+6,$E21&gt;=P$8),1,""))</f>
        <v/>
      </c>
      <c r="Q21" s="16" t="str">
        <f aca="false">IF(OR($B21="",$D21="",$E21="",Q$8=""),"",IF(AND($E21&gt;=$D21,$D21&lt;=Q$8+6,$E21&gt;=Q$8),1,""))</f>
        <v/>
      </c>
      <c r="R21" s="16" t="str">
        <f aca="false">IF(OR($B21="",$D21="",$E21="",R$8=""),"",IF(AND($E21&gt;=$D21,$D21&lt;=R$8+6,$E21&gt;=R$8),1,""))</f>
        <v/>
      </c>
      <c r="S21" s="16" t="str">
        <f aca="false">IF(OR($B21="",$D21="",$E21="",S$8=""),"",IF(AND($E21&gt;=$D21,$D21&lt;=S$8+6,$E21&gt;=S$8),1,""))</f>
        <v/>
      </c>
      <c r="T21" s="16" t="str">
        <f aca="false">IF(OR($B21="",$D21="",$E21="",T$8=""),"",IF(AND($E21&gt;=$D21,$D21&lt;=T$8+6,$E21&gt;=T$8),1,""))</f>
        <v/>
      </c>
      <c r="U21" s="16" t="str">
        <f aca="false">IF(OR($B21="",$D21="",$E21="",U$8=""),"",IF(AND($E21&gt;=$D21,$D21&lt;=U$8+6,$E21&gt;=U$8),1,""))</f>
        <v/>
      </c>
      <c r="V21" s="16" t="str">
        <f aca="false">IF(OR($B21="",$D21="",$E21="",V$8=""),"",IF(AND($E21&gt;=$D21,$D21&lt;=V$8+6,$E21&gt;=V$8),1,""))</f>
        <v/>
      </c>
      <c r="W21" s="16" t="str">
        <f aca="false">IF(OR($B21="",$D21="",$E21="",W$8=""),"",IF(AND($E21&gt;=$D21,$D21&lt;=W$8+6,$E21&gt;=W$8),1,""))</f>
        <v/>
      </c>
      <c r="X21" s="16" t="str">
        <f aca="false">IF(OR($B21="",$D21="",$E21="",X$8=""),"",IF(AND($E21&gt;=$D21,$D21&lt;=X$8+6,$E21&gt;=X$8),1,""))</f>
        <v/>
      </c>
    </row>
    <row r="22" customFormat="false" ht="21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customFormat="false" ht="21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customFormat="false" ht="21" hidden="false" customHeight="true" outlineLevel="0" collapsed="false">
      <c r="A24" s="1"/>
      <c r="B24" s="17" t="s">
        <v>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customFormat="false" ht="21" hidden="false" customHeight="true" outlineLevel="0" collapsed="false">
      <c r="A25" s="1"/>
      <c r="B25" s="9" t="s">
        <v>54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customFormat="false" ht="21" hidden="false" customHeight="true" outlineLevel="0" collapsed="false">
      <c r="A26" s="1"/>
      <c r="B26" s="9" t="s">
        <v>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customFormat="false" ht="21" hidden="false" customHeight="true" outlineLevel="0" collapsed="false">
      <c r="A27" s="1"/>
      <c r="B27" s="9" t="s">
        <v>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customFormat="false" ht="21" hidden="false" customHeight="true" outlineLevel="0" collapsed="false">
      <c r="A28" s="1"/>
      <c r="B28" s="9" t="s">
        <v>57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customFormat="false" ht="21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</sheetData>
  <conditionalFormatting sqref="F10:F21">
    <cfRule type="expression" priority="2" aboveAverage="0" equalAverage="0" bottom="0" percent="0" rank="0" text="" dxfId="30">
      <formula>$F10="A fazer"</formula>
    </cfRule>
    <cfRule type="expression" priority="3" aboveAverage="0" equalAverage="0" bottom="0" percent="0" rank="0" text="" dxfId="31">
      <formula>$F10="Em andamento"</formula>
    </cfRule>
    <cfRule type="expression" priority="4" aboveAverage="0" equalAverage="0" bottom="0" percent="0" rank="0" text="" dxfId="32">
      <formula>$F10="Em validação"</formula>
    </cfRule>
    <cfRule type="expression" priority="5" aboveAverage="0" equalAverage="0" bottom="0" percent="0" rank="0" text="" dxfId="33">
      <formula>$F10="Concluído"</formula>
    </cfRule>
    <cfRule type="expression" priority="6" aboveAverage="0" equalAverage="0" bottom="0" percent="0" rank="0" text="" dxfId="34">
      <formula>$F10="Bloqueado"</formula>
    </cfRule>
    <cfRule type="expression" priority="7" aboveAverage="0" equalAverage="0" bottom="0" percent="0" rank="0" text="" dxfId="35">
      <formula>$F10="Pausado"</formula>
    </cfRule>
  </conditionalFormatting>
  <conditionalFormatting sqref="M10:X21">
    <cfRule type="expression" priority="8" aboveAverage="0" equalAverage="0" bottom="0" percent="0" rank="0" text="" dxfId="36">
      <formula>AND(M10=1,$F10="A fazer")</formula>
    </cfRule>
    <cfRule type="expression" priority="9" aboveAverage="0" equalAverage="0" bottom="0" percent="0" rank="0" text="" dxfId="37">
      <formula>AND(M10=1,$F10="Em andamento")</formula>
    </cfRule>
    <cfRule type="expression" priority="10" aboveAverage="0" equalAverage="0" bottom="0" percent="0" rank="0" text="" dxfId="38">
      <formula>AND(M10=1,$F10="Em validação")</formula>
    </cfRule>
    <cfRule type="expression" priority="11" aboveAverage="0" equalAverage="0" bottom="0" percent="0" rank="0" text="" dxfId="39">
      <formula>AND(M10=1,$F10="Concluído")</formula>
    </cfRule>
    <cfRule type="expression" priority="12" aboveAverage="0" equalAverage="0" bottom="0" percent="0" rank="0" text="" dxfId="40">
      <formula>AND(M10=1,$F10="Bloqueado")</formula>
    </cfRule>
    <cfRule type="expression" priority="13" aboveAverage="0" equalAverage="0" bottom="0" percent="0" rank="0" text="" dxfId="41">
      <formula>AND(M10=1,$F10="Pausado")</formula>
    </cfRule>
    <cfRule type="expression" priority="14" aboveAverage="0" equalAverage="0" bottom="0" percent="0" rank="0" text="" dxfId="42">
      <formula>AND(M10=1,$F10="")</formula>
    </cfRule>
  </conditionalFormatting>
  <conditionalFormatting sqref="K10:K21">
    <cfRule type="containsText" priority="15" operator="containsText" aboveAverage="0" equalAverage="0" bottom="0" percent="0" rank="0" text="Rever datas" dxfId="43">
      <formula>NOT(ISERROR(SEARCH("Rever datas",K10)))</formula>
    </cfRule>
    <cfRule type="containsText" priority="16" operator="containsText" aboveAverage="0" equalAverage="0" bottom="0" percent="0" rank="0" text="Revisar" dxfId="44">
      <formula>NOT(ISERROR(SEARCH("Revisar",K10)))</formula>
    </cfRule>
  </conditionalFormatting>
  <dataValidations count="2">
    <dataValidation allowBlank="false" error="Selecione um dos seis status disponíveis no menu." errorStyle="stop" errorTitle="Escolha um status" operator="between" showDropDown="false" showErrorMessage="true" showInputMessage="false" sqref="F10:F21" type="list">
      <formula1>"A fazer,Em andamento,Em validação,Concluído,Bloqueado,Pausado"</formula1>
      <formula2>0</formula2>
    </dataValidation>
    <dataValidation allowBlank="false" error="Selecione Alta, Média ou Baixa no menu." errorStyle="stop" errorTitle="Escolha uma prioridade" operator="between" showDropDown="false" showErrorMessage="true" showInputMessage="false" sqref="G10:G21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B87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7.22"/>
    <col collapsed="false" customWidth="true" hidden="false" outlineLevel="0" max="3" min="3" style="0" width="15"/>
    <col collapsed="false" customWidth="true" hidden="false" outlineLevel="0" max="5" min="4" style="0" width="11.78"/>
    <col collapsed="false" customWidth="true" hidden="false" outlineLevel="0" max="6" min="6" style="0" width="15"/>
    <col collapsed="false" customWidth="true" hidden="false" outlineLevel="0" max="7" min="7" style="0" width="11.78"/>
    <col collapsed="false" customWidth="true" hidden="false" outlineLevel="0" max="8" min="8" style="0" width="12.78"/>
    <col collapsed="false" customWidth="true" hidden="false" outlineLevel="0" max="9" min="9" style="0" width="26.11"/>
    <col collapsed="false" customWidth="true" hidden="false" outlineLevel="0" max="10" min="10" style="0" width="27.22"/>
    <col collapsed="false" customWidth="true" hidden="false" outlineLevel="0" max="11" min="11" style="0" width="18.34"/>
    <col collapsed="false" customWidth="true" hidden="false" outlineLevel="0" max="12" min="12" style="0" width="2"/>
    <col collapsed="false" customWidth="true" hidden="false" outlineLevel="0" max="18" min="13" style="0" width="12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" hidden="false" customHeight="true" outlineLevel="0" collapsed="false">
      <c r="A2" s="1"/>
      <c r="B2" s="2" t="s">
        <v>13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21" hidden="false" customHeight="true" outlineLevel="0" collapsed="false">
      <c r="A3" s="1"/>
      <c r="B3" s="10" t="s">
        <v>32</v>
      </c>
      <c r="C3" s="1"/>
      <c r="D3" s="1"/>
      <c r="E3" s="1"/>
      <c r="F3" s="1"/>
      <c r="G3" s="1"/>
      <c r="H3" s="1"/>
      <c r="I3" s="9" t="s">
        <v>78</v>
      </c>
      <c r="J3" s="1"/>
      <c r="K3" s="1"/>
      <c r="L3" s="1"/>
      <c r="M3" s="1"/>
      <c r="N3" s="1"/>
      <c r="O3" s="1"/>
      <c r="P3" s="1"/>
      <c r="Q3" s="1"/>
      <c r="R3" s="1"/>
    </row>
    <row r="4" customFormat="false" ht="2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1" hidden="false" customHeight="true" outlineLevel="0" collapsed="false">
      <c r="A5" s="1"/>
      <c r="B5" s="1" t="s">
        <v>34</v>
      </c>
      <c r="C5" s="11"/>
      <c r="D5" s="1"/>
      <c r="E5" s="1"/>
      <c r="F5" s="1" t="s">
        <v>35</v>
      </c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Format="false" ht="21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Format="false" ht="21" hidden="false" customHeight="true" outlineLevel="0" collapsed="false">
      <c r="A7" s="1"/>
      <c r="B7" s="9" t="s">
        <v>36</v>
      </c>
      <c r="C7" s="9"/>
      <c r="D7" s="9"/>
      <c r="E7" s="9"/>
      <c r="F7" s="9" t="s">
        <v>37</v>
      </c>
      <c r="G7" s="9"/>
      <c r="H7" s="9"/>
      <c r="I7" s="9"/>
      <c r="J7" s="9" t="s">
        <v>38</v>
      </c>
      <c r="K7" s="9"/>
      <c r="L7" s="1"/>
      <c r="M7" s="1"/>
      <c r="N7" s="1"/>
      <c r="O7" s="1"/>
      <c r="P7" s="1"/>
      <c r="Q7" s="1"/>
      <c r="R7" s="1"/>
    </row>
    <row r="8" customFormat="false" ht="21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2" t="str">
        <f aca="false">IF($C$5="","",$C$5+0)</f>
        <v/>
      </c>
      <c r="N8" s="12" t="str">
        <f aca="false">IF($C$5="","",$C$5+15)</f>
        <v/>
      </c>
      <c r="O8" s="12" t="str">
        <f aca="false">IF($C$5="","",$C$5+30)</f>
        <v/>
      </c>
      <c r="P8" s="12" t="str">
        <f aca="false">IF($C$5="","",$C$5+45)</f>
        <v/>
      </c>
      <c r="Q8" s="12" t="str">
        <f aca="false">IF($C$5="","",$C$5+60)</f>
        <v/>
      </c>
      <c r="R8" s="12" t="str">
        <f aca="false">IF($C$5="","",$C$5+75)</f>
        <v/>
      </c>
    </row>
    <row r="9" customFormat="false" ht="36" hidden="false" customHeight="true" outlineLevel="0" collapsed="false">
      <c r="A9" s="1"/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47</v>
      </c>
      <c r="K9" s="4" t="s">
        <v>48</v>
      </c>
      <c r="L9" s="1"/>
      <c r="M9" s="4" t="s">
        <v>79</v>
      </c>
      <c r="N9" s="4" t="s">
        <v>80</v>
      </c>
      <c r="O9" s="4" t="s">
        <v>81</v>
      </c>
      <c r="P9" s="4" t="s">
        <v>82</v>
      </c>
      <c r="Q9" s="4" t="s">
        <v>83</v>
      </c>
      <c r="R9" s="4" t="s">
        <v>84</v>
      </c>
    </row>
    <row r="10" customFormat="false" ht="43" hidden="false" customHeight="true" outlineLevel="0" collapsed="false">
      <c r="A10" s="1"/>
      <c r="B10" s="13"/>
      <c r="C10" s="13"/>
      <c r="D10" s="14"/>
      <c r="E10" s="14"/>
      <c r="F10" s="15"/>
      <c r="G10" s="15"/>
      <c r="H10" s="13"/>
      <c r="I10" s="13"/>
      <c r="J10" s="13"/>
      <c r="K10" s="7" t="str">
        <f aca="false">IF(B10="","",IF(OR(D10="",E10=""),"Completar datas",IF(E10&lt;D10,"Rever datas",IF(AND(ISNUMBER($G$5),E10&lt;$G$5,F10&lt;&gt;"Concluído"),"Revisar prazo",""))))</f>
        <v/>
      </c>
      <c r="L10" s="1"/>
      <c r="M10" s="16" t="str">
        <f aca="false">IF(OR($B10="",$D10="",$E10="",M$8=""),"",IF(AND($E10&gt;=$D10,$D10&lt;=M$8+14,$E10&gt;=M$8),1,""))</f>
        <v/>
      </c>
      <c r="N10" s="16" t="str">
        <f aca="false">IF(OR($B10="",$D10="",$E10="",N$8=""),"",IF(AND($E10&gt;=$D10,$D10&lt;=N$8+14,$E10&gt;=N$8),1,""))</f>
        <v/>
      </c>
      <c r="O10" s="16" t="str">
        <f aca="false">IF(OR($B10="",$D10="",$E10="",O$8=""),"",IF(AND($E10&gt;=$D10,$D10&lt;=O$8+14,$E10&gt;=O$8),1,""))</f>
        <v/>
      </c>
      <c r="P10" s="16" t="str">
        <f aca="false">IF(OR($B10="",$D10="",$E10="",P$8=""),"",IF(AND($E10&gt;=$D10,$D10&lt;=P$8+14,$E10&gt;=P$8),1,""))</f>
        <v/>
      </c>
      <c r="Q10" s="16" t="str">
        <f aca="false">IF(OR($B10="",$D10="",$E10="",Q$8=""),"",IF(AND($E10&gt;=$D10,$D10&lt;=Q$8+14,$E10&gt;=Q$8),1,""))</f>
        <v/>
      </c>
      <c r="R10" s="16" t="str">
        <f aca="false">IF(OR($B10="",$D10="",$E10="",R$8=""),"",IF(AND($E10&gt;=$D10,$D10&lt;=R$8+14,$E10&gt;=R$8),1,""))</f>
        <v/>
      </c>
    </row>
    <row r="11" customFormat="false" ht="43" hidden="false" customHeight="true" outlineLevel="0" collapsed="false">
      <c r="A11" s="1"/>
      <c r="B11" s="13"/>
      <c r="C11" s="13"/>
      <c r="D11" s="14"/>
      <c r="E11" s="14"/>
      <c r="F11" s="15"/>
      <c r="G11" s="15"/>
      <c r="H11" s="13"/>
      <c r="I11" s="13"/>
      <c r="J11" s="13"/>
      <c r="K11" s="7" t="str">
        <f aca="false">IF(B11="","",IF(OR(D11="",E11=""),"Completar datas",IF(E11&lt;D11,"Rever datas",IF(AND(ISNUMBER($G$5),E11&lt;$G$5,F11&lt;&gt;"Concluído"),"Revisar prazo",""))))</f>
        <v/>
      </c>
      <c r="L11" s="1"/>
      <c r="M11" s="16" t="str">
        <f aca="false">IF(OR($B11="",$D11="",$E11="",M$8=""),"",IF(AND($E11&gt;=$D11,$D11&lt;=M$8+14,$E11&gt;=M$8),1,""))</f>
        <v/>
      </c>
      <c r="N11" s="16" t="str">
        <f aca="false">IF(OR($B11="",$D11="",$E11="",N$8=""),"",IF(AND($E11&gt;=$D11,$D11&lt;=N$8+14,$E11&gt;=N$8),1,""))</f>
        <v/>
      </c>
      <c r="O11" s="16" t="str">
        <f aca="false">IF(OR($B11="",$D11="",$E11="",O$8=""),"",IF(AND($E11&gt;=$D11,$D11&lt;=O$8+14,$E11&gt;=O$8),1,""))</f>
        <v/>
      </c>
      <c r="P11" s="16" t="str">
        <f aca="false">IF(OR($B11="",$D11="",$E11="",P$8=""),"",IF(AND($E11&gt;=$D11,$D11&lt;=P$8+14,$E11&gt;=P$8),1,""))</f>
        <v/>
      </c>
      <c r="Q11" s="16" t="str">
        <f aca="false">IF(OR($B11="",$D11="",$E11="",Q$8=""),"",IF(AND($E11&gt;=$D11,$D11&lt;=Q$8+14,$E11&gt;=Q$8),1,""))</f>
        <v/>
      </c>
      <c r="R11" s="16" t="str">
        <f aca="false">IF(OR($B11="",$D11="",$E11="",R$8=""),"",IF(AND($E11&gt;=$D11,$D11&lt;=R$8+14,$E11&gt;=R$8),1,""))</f>
        <v/>
      </c>
    </row>
    <row r="12" customFormat="false" ht="43" hidden="false" customHeight="true" outlineLevel="0" collapsed="false">
      <c r="A12" s="1"/>
      <c r="B12" s="13"/>
      <c r="C12" s="13"/>
      <c r="D12" s="14"/>
      <c r="E12" s="14"/>
      <c r="F12" s="15"/>
      <c r="G12" s="15"/>
      <c r="H12" s="13"/>
      <c r="I12" s="13"/>
      <c r="J12" s="13"/>
      <c r="K12" s="7" t="str">
        <f aca="false">IF(B12="","",IF(OR(D12="",E12=""),"Completar datas",IF(E12&lt;D12,"Rever datas",IF(AND(ISNUMBER($G$5),E12&lt;$G$5,F12&lt;&gt;"Concluído"),"Revisar prazo",""))))</f>
        <v/>
      </c>
      <c r="L12" s="1"/>
      <c r="M12" s="16" t="str">
        <f aca="false">IF(OR($B12="",$D12="",$E12="",M$8=""),"",IF(AND($E12&gt;=$D12,$D12&lt;=M$8+14,$E12&gt;=M$8),1,""))</f>
        <v/>
      </c>
      <c r="N12" s="16" t="str">
        <f aca="false">IF(OR($B12="",$D12="",$E12="",N$8=""),"",IF(AND($E12&gt;=$D12,$D12&lt;=N$8+14,$E12&gt;=N$8),1,""))</f>
        <v/>
      </c>
      <c r="O12" s="16" t="str">
        <f aca="false">IF(OR($B12="",$D12="",$E12="",O$8=""),"",IF(AND($E12&gt;=$D12,$D12&lt;=O$8+14,$E12&gt;=O$8),1,""))</f>
        <v/>
      </c>
      <c r="P12" s="16" t="str">
        <f aca="false">IF(OR($B12="",$D12="",$E12="",P$8=""),"",IF(AND($E12&gt;=$D12,$D12&lt;=P$8+14,$E12&gt;=P$8),1,""))</f>
        <v/>
      </c>
      <c r="Q12" s="16" t="str">
        <f aca="false">IF(OR($B12="",$D12="",$E12="",Q$8=""),"",IF(AND($E12&gt;=$D12,$D12&lt;=Q$8+14,$E12&gt;=Q$8),1,""))</f>
        <v/>
      </c>
      <c r="R12" s="16" t="str">
        <f aca="false">IF(OR($B12="",$D12="",$E12="",R$8=""),"",IF(AND($E12&gt;=$D12,$D12&lt;=R$8+14,$E12&gt;=R$8),1,""))</f>
        <v/>
      </c>
    </row>
    <row r="13" customFormat="false" ht="43" hidden="false" customHeight="true" outlineLevel="0" collapsed="false">
      <c r="A13" s="1"/>
      <c r="B13" s="13"/>
      <c r="C13" s="13"/>
      <c r="D13" s="14"/>
      <c r="E13" s="14"/>
      <c r="F13" s="15"/>
      <c r="G13" s="15"/>
      <c r="H13" s="13"/>
      <c r="I13" s="13"/>
      <c r="J13" s="13"/>
      <c r="K13" s="7" t="str">
        <f aca="false">IF(B13="","",IF(OR(D13="",E13=""),"Completar datas",IF(E13&lt;D13,"Rever datas",IF(AND(ISNUMBER($G$5),E13&lt;$G$5,F13&lt;&gt;"Concluído"),"Revisar prazo",""))))</f>
        <v/>
      </c>
      <c r="L13" s="1"/>
      <c r="M13" s="16" t="str">
        <f aca="false">IF(OR($B13="",$D13="",$E13="",M$8=""),"",IF(AND($E13&gt;=$D13,$D13&lt;=M$8+14,$E13&gt;=M$8),1,""))</f>
        <v/>
      </c>
      <c r="N13" s="16" t="str">
        <f aca="false">IF(OR($B13="",$D13="",$E13="",N$8=""),"",IF(AND($E13&gt;=$D13,$D13&lt;=N$8+14,$E13&gt;=N$8),1,""))</f>
        <v/>
      </c>
      <c r="O13" s="16" t="str">
        <f aca="false">IF(OR($B13="",$D13="",$E13="",O$8=""),"",IF(AND($E13&gt;=$D13,$D13&lt;=O$8+14,$E13&gt;=O$8),1,""))</f>
        <v/>
      </c>
      <c r="P13" s="16" t="str">
        <f aca="false">IF(OR($B13="",$D13="",$E13="",P$8=""),"",IF(AND($E13&gt;=$D13,$D13&lt;=P$8+14,$E13&gt;=P$8),1,""))</f>
        <v/>
      </c>
      <c r="Q13" s="16" t="str">
        <f aca="false">IF(OR($B13="",$D13="",$E13="",Q$8=""),"",IF(AND($E13&gt;=$D13,$D13&lt;=Q$8+14,$E13&gt;=Q$8),1,""))</f>
        <v/>
      </c>
      <c r="R13" s="16" t="str">
        <f aca="false">IF(OR($B13="",$D13="",$E13="",R$8=""),"",IF(AND($E13&gt;=$D13,$D13&lt;=R$8+14,$E13&gt;=R$8),1,""))</f>
        <v/>
      </c>
    </row>
    <row r="14" customFormat="false" ht="43" hidden="false" customHeight="true" outlineLevel="0" collapsed="false">
      <c r="A14" s="1"/>
      <c r="B14" s="13"/>
      <c r="C14" s="13"/>
      <c r="D14" s="14"/>
      <c r="E14" s="14"/>
      <c r="F14" s="15"/>
      <c r="G14" s="15"/>
      <c r="H14" s="13"/>
      <c r="I14" s="13"/>
      <c r="J14" s="13"/>
      <c r="K14" s="7" t="str">
        <f aca="false">IF(B14="","",IF(OR(D14="",E14=""),"Completar datas",IF(E14&lt;D14,"Rever datas",IF(AND(ISNUMBER($G$5),E14&lt;$G$5,F14&lt;&gt;"Concluído"),"Revisar prazo",""))))</f>
        <v/>
      </c>
      <c r="L14" s="1"/>
      <c r="M14" s="16" t="str">
        <f aca="false">IF(OR($B14="",$D14="",$E14="",M$8=""),"",IF(AND($E14&gt;=$D14,$D14&lt;=M$8+14,$E14&gt;=M$8),1,""))</f>
        <v/>
      </c>
      <c r="N14" s="16" t="str">
        <f aca="false">IF(OR($B14="",$D14="",$E14="",N$8=""),"",IF(AND($E14&gt;=$D14,$D14&lt;=N$8+14,$E14&gt;=N$8),1,""))</f>
        <v/>
      </c>
      <c r="O14" s="16" t="str">
        <f aca="false">IF(OR($B14="",$D14="",$E14="",O$8=""),"",IF(AND($E14&gt;=$D14,$D14&lt;=O$8+14,$E14&gt;=O$8),1,""))</f>
        <v/>
      </c>
      <c r="P14" s="16" t="str">
        <f aca="false">IF(OR($B14="",$D14="",$E14="",P$8=""),"",IF(AND($E14&gt;=$D14,$D14&lt;=P$8+14,$E14&gt;=P$8),1,""))</f>
        <v/>
      </c>
      <c r="Q14" s="16" t="str">
        <f aca="false">IF(OR($B14="",$D14="",$E14="",Q$8=""),"",IF(AND($E14&gt;=$D14,$D14&lt;=Q$8+14,$E14&gt;=Q$8),1,""))</f>
        <v/>
      </c>
      <c r="R14" s="16" t="str">
        <f aca="false">IF(OR($B14="",$D14="",$E14="",R$8=""),"",IF(AND($E14&gt;=$D14,$D14&lt;=R$8+14,$E14&gt;=R$8),1,""))</f>
        <v/>
      </c>
    </row>
    <row r="15" customFormat="false" ht="43" hidden="false" customHeight="true" outlineLevel="0" collapsed="false">
      <c r="A15" s="1"/>
      <c r="B15" s="13"/>
      <c r="C15" s="13"/>
      <c r="D15" s="14"/>
      <c r="E15" s="14"/>
      <c r="F15" s="15"/>
      <c r="G15" s="15"/>
      <c r="H15" s="13"/>
      <c r="I15" s="13"/>
      <c r="J15" s="13"/>
      <c r="K15" s="7" t="str">
        <f aca="false">IF(B15="","",IF(OR(D15="",E15=""),"Completar datas",IF(E15&lt;D15,"Rever datas",IF(AND(ISNUMBER($G$5),E15&lt;$G$5,F15&lt;&gt;"Concluído"),"Revisar prazo",""))))</f>
        <v/>
      </c>
      <c r="L15" s="1"/>
      <c r="M15" s="16" t="str">
        <f aca="false">IF(OR($B15="",$D15="",$E15="",M$8=""),"",IF(AND($E15&gt;=$D15,$D15&lt;=M$8+14,$E15&gt;=M$8),1,""))</f>
        <v/>
      </c>
      <c r="N15" s="16" t="str">
        <f aca="false">IF(OR($B15="",$D15="",$E15="",N$8=""),"",IF(AND($E15&gt;=$D15,$D15&lt;=N$8+14,$E15&gt;=N$8),1,""))</f>
        <v/>
      </c>
      <c r="O15" s="16" t="str">
        <f aca="false">IF(OR($B15="",$D15="",$E15="",O$8=""),"",IF(AND($E15&gt;=$D15,$D15&lt;=O$8+14,$E15&gt;=O$8),1,""))</f>
        <v/>
      </c>
      <c r="P15" s="16" t="str">
        <f aca="false">IF(OR($B15="",$D15="",$E15="",P$8=""),"",IF(AND($E15&gt;=$D15,$D15&lt;=P$8+14,$E15&gt;=P$8),1,""))</f>
        <v/>
      </c>
      <c r="Q15" s="16" t="str">
        <f aca="false">IF(OR($B15="",$D15="",$E15="",Q$8=""),"",IF(AND($E15&gt;=$D15,$D15&lt;=Q$8+14,$E15&gt;=Q$8),1,""))</f>
        <v/>
      </c>
      <c r="R15" s="16" t="str">
        <f aca="false">IF(OR($B15="",$D15="",$E15="",R$8=""),"",IF(AND($E15&gt;=$D15,$D15&lt;=R$8+14,$E15&gt;=R$8),1,""))</f>
        <v/>
      </c>
    </row>
    <row r="16" customFormat="false" ht="43" hidden="false" customHeight="true" outlineLevel="0" collapsed="false">
      <c r="A16" s="1"/>
      <c r="B16" s="13"/>
      <c r="C16" s="13"/>
      <c r="D16" s="14"/>
      <c r="E16" s="14"/>
      <c r="F16" s="15"/>
      <c r="G16" s="15"/>
      <c r="H16" s="13"/>
      <c r="I16" s="13"/>
      <c r="J16" s="13"/>
      <c r="K16" s="7" t="str">
        <f aca="false">IF(B16="","",IF(OR(D16="",E16=""),"Completar datas",IF(E16&lt;D16,"Rever datas",IF(AND(ISNUMBER($G$5),E16&lt;$G$5,F16&lt;&gt;"Concluído"),"Revisar prazo",""))))</f>
        <v/>
      </c>
      <c r="L16" s="1"/>
      <c r="M16" s="16" t="str">
        <f aca="false">IF(OR($B16="",$D16="",$E16="",M$8=""),"",IF(AND($E16&gt;=$D16,$D16&lt;=M$8+14,$E16&gt;=M$8),1,""))</f>
        <v/>
      </c>
      <c r="N16" s="16" t="str">
        <f aca="false">IF(OR($B16="",$D16="",$E16="",N$8=""),"",IF(AND($E16&gt;=$D16,$D16&lt;=N$8+14,$E16&gt;=N$8),1,""))</f>
        <v/>
      </c>
      <c r="O16" s="16" t="str">
        <f aca="false">IF(OR($B16="",$D16="",$E16="",O$8=""),"",IF(AND($E16&gt;=$D16,$D16&lt;=O$8+14,$E16&gt;=O$8),1,""))</f>
        <v/>
      </c>
      <c r="P16" s="16" t="str">
        <f aca="false">IF(OR($B16="",$D16="",$E16="",P$8=""),"",IF(AND($E16&gt;=$D16,$D16&lt;=P$8+14,$E16&gt;=P$8),1,""))</f>
        <v/>
      </c>
      <c r="Q16" s="16" t="str">
        <f aca="false">IF(OR($B16="",$D16="",$E16="",Q$8=""),"",IF(AND($E16&gt;=$D16,$D16&lt;=Q$8+14,$E16&gt;=Q$8),1,""))</f>
        <v/>
      </c>
      <c r="R16" s="16" t="str">
        <f aca="false">IF(OR($B16="",$D16="",$E16="",R$8=""),"",IF(AND($E16&gt;=$D16,$D16&lt;=R$8+14,$E16&gt;=R$8),1,""))</f>
        <v/>
      </c>
    </row>
    <row r="17" customFormat="false" ht="43" hidden="false" customHeight="true" outlineLevel="0" collapsed="false">
      <c r="A17" s="1"/>
      <c r="B17" s="13"/>
      <c r="C17" s="13"/>
      <c r="D17" s="14"/>
      <c r="E17" s="14"/>
      <c r="F17" s="15"/>
      <c r="G17" s="15"/>
      <c r="H17" s="13"/>
      <c r="I17" s="13"/>
      <c r="J17" s="13"/>
      <c r="K17" s="7" t="str">
        <f aca="false">IF(B17="","",IF(OR(D17="",E17=""),"Completar datas",IF(E17&lt;D17,"Rever datas",IF(AND(ISNUMBER($G$5),E17&lt;$G$5,F17&lt;&gt;"Concluído"),"Revisar prazo",""))))</f>
        <v/>
      </c>
      <c r="L17" s="1"/>
      <c r="M17" s="16" t="str">
        <f aca="false">IF(OR($B17="",$D17="",$E17="",M$8=""),"",IF(AND($E17&gt;=$D17,$D17&lt;=M$8+14,$E17&gt;=M$8),1,""))</f>
        <v/>
      </c>
      <c r="N17" s="16" t="str">
        <f aca="false">IF(OR($B17="",$D17="",$E17="",N$8=""),"",IF(AND($E17&gt;=$D17,$D17&lt;=N$8+14,$E17&gt;=N$8),1,""))</f>
        <v/>
      </c>
      <c r="O17" s="16" t="str">
        <f aca="false">IF(OR($B17="",$D17="",$E17="",O$8=""),"",IF(AND($E17&gt;=$D17,$D17&lt;=O$8+14,$E17&gt;=O$8),1,""))</f>
        <v/>
      </c>
      <c r="P17" s="16" t="str">
        <f aca="false">IF(OR($B17="",$D17="",$E17="",P$8=""),"",IF(AND($E17&gt;=$D17,$D17&lt;=P$8+14,$E17&gt;=P$8),1,""))</f>
        <v/>
      </c>
      <c r="Q17" s="16" t="str">
        <f aca="false">IF(OR($B17="",$D17="",$E17="",Q$8=""),"",IF(AND($E17&gt;=$D17,$D17&lt;=Q$8+14,$E17&gt;=Q$8),1,""))</f>
        <v/>
      </c>
      <c r="R17" s="16" t="str">
        <f aca="false">IF(OR($B17="",$D17="",$E17="",R$8=""),"",IF(AND($E17&gt;=$D17,$D17&lt;=R$8+14,$E17&gt;=R$8),1,""))</f>
        <v/>
      </c>
    </row>
    <row r="18" customFormat="false" ht="43" hidden="false" customHeight="true" outlineLevel="0" collapsed="false">
      <c r="A18" s="1"/>
      <c r="B18" s="13"/>
      <c r="C18" s="13"/>
      <c r="D18" s="14"/>
      <c r="E18" s="14"/>
      <c r="F18" s="15"/>
      <c r="G18" s="15"/>
      <c r="H18" s="13"/>
      <c r="I18" s="13"/>
      <c r="J18" s="13"/>
      <c r="K18" s="7" t="str">
        <f aca="false">IF(B18="","",IF(OR(D18="",E18=""),"Completar datas",IF(E18&lt;D18,"Rever datas",IF(AND(ISNUMBER($G$5),E18&lt;$G$5,F18&lt;&gt;"Concluído"),"Revisar prazo",""))))</f>
        <v/>
      </c>
      <c r="L18" s="1"/>
      <c r="M18" s="16" t="str">
        <f aca="false">IF(OR($B18="",$D18="",$E18="",M$8=""),"",IF(AND($E18&gt;=$D18,$D18&lt;=M$8+14,$E18&gt;=M$8),1,""))</f>
        <v/>
      </c>
      <c r="N18" s="16" t="str">
        <f aca="false">IF(OR($B18="",$D18="",$E18="",N$8=""),"",IF(AND($E18&gt;=$D18,$D18&lt;=N$8+14,$E18&gt;=N$8),1,""))</f>
        <v/>
      </c>
      <c r="O18" s="16" t="str">
        <f aca="false">IF(OR($B18="",$D18="",$E18="",O$8=""),"",IF(AND($E18&gt;=$D18,$D18&lt;=O$8+14,$E18&gt;=O$8),1,""))</f>
        <v/>
      </c>
      <c r="P18" s="16" t="str">
        <f aca="false">IF(OR($B18="",$D18="",$E18="",P$8=""),"",IF(AND($E18&gt;=$D18,$D18&lt;=P$8+14,$E18&gt;=P$8),1,""))</f>
        <v/>
      </c>
      <c r="Q18" s="16" t="str">
        <f aca="false">IF(OR($B18="",$D18="",$E18="",Q$8=""),"",IF(AND($E18&gt;=$D18,$D18&lt;=Q$8+14,$E18&gt;=Q$8),1,""))</f>
        <v/>
      </c>
      <c r="R18" s="16" t="str">
        <f aca="false">IF(OR($B18="",$D18="",$E18="",R$8=""),"",IF(AND($E18&gt;=$D18,$D18&lt;=R$8+14,$E18&gt;=R$8),1,""))</f>
        <v/>
      </c>
    </row>
    <row r="19" customFormat="false" ht="43" hidden="false" customHeight="true" outlineLevel="0" collapsed="false">
      <c r="A19" s="1"/>
      <c r="B19" s="13"/>
      <c r="C19" s="13"/>
      <c r="D19" s="14"/>
      <c r="E19" s="14"/>
      <c r="F19" s="15"/>
      <c r="G19" s="15"/>
      <c r="H19" s="13"/>
      <c r="I19" s="13"/>
      <c r="J19" s="13"/>
      <c r="K19" s="7" t="str">
        <f aca="false">IF(B19="","",IF(OR(D19="",E19=""),"Completar datas",IF(E19&lt;D19,"Rever datas",IF(AND(ISNUMBER($G$5),E19&lt;$G$5,F19&lt;&gt;"Concluído"),"Revisar prazo",""))))</f>
        <v/>
      </c>
      <c r="L19" s="1"/>
      <c r="M19" s="16" t="str">
        <f aca="false">IF(OR($B19="",$D19="",$E19="",M$8=""),"",IF(AND($E19&gt;=$D19,$D19&lt;=M$8+14,$E19&gt;=M$8),1,""))</f>
        <v/>
      </c>
      <c r="N19" s="16" t="str">
        <f aca="false">IF(OR($B19="",$D19="",$E19="",N$8=""),"",IF(AND($E19&gt;=$D19,$D19&lt;=N$8+14,$E19&gt;=N$8),1,""))</f>
        <v/>
      </c>
      <c r="O19" s="16" t="str">
        <f aca="false">IF(OR($B19="",$D19="",$E19="",O$8=""),"",IF(AND($E19&gt;=$D19,$D19&lt;=O$8+14,$E19&gt;=O$8),1,""))</f>
        <v/>
      </c>
      <c r="P19" s="16" t="str">
        <f aca="false">IF(OR($B19="",$D19="",$E19="",P$8=""),"",IF(AND($E19&gt;=$D19,$D19&lt;=P$8+14,$E19&gt;=P$8),1,""))</f>
        <v/>
      </c>
      <c r="Q19" s="16" t="str">
        <f aca="false">IF(OR($B19="",$D19="",$E19="",Q$8=""),"",IF(AND($E19&gt;=$D19,$D19&lt;=Q$8+14,$E19&gt;=Q$8),1,""))</f>
        <v/>
      </c>
      <c r="R19" s="16" t="str">
        <f aca="false">IF(OR($B19="",$D19="",$E19="",R$8=""),"",IF(AND($E19&gt;=$D19,$D19&lt;=R$8+14,$E19&gt;=R$8),1,""))</f>
        <v/>
      </c>
    </row>
    <row r="20" customFormat="false" ht="43" hidden="false" customHeight="true" outlineLevel="0" collapsed="false">
      <c r="A20" s="1"/>
      <c r="B20" s="13"/>
      <c r="C20" s="13"/>
      <c r="D20" s="14"/>
      <c r="E20" s="14"/>
      <c r="F20" s="15"/>
      <c r="G20" s="15"/>
      <c r="H20" s="13"/>
      <c r="I20" s="13"/>
      <c r="J20" s="13"/>
      <c r="K20" s="7" t="str">
        <f aca="false">IF(B20="","",IF(OR(D20="",E20=""),"Completar datas",IF(E20&lt;D20,"Rever datas",IF(AND(ISNUMBER($G$5),E20&lt;$G$5,F20&lt;&gt;"Concluído"),"Revisar prazo",""))))</f>
        <v/>
      </c>
      <c r="L20" s="1"/>
      <c r="M20" s="16" t="str">
        <f aca="false">IF(OR($B20="",$D20="",$E20="",M$8=""),"",IF(AND($E20&gt;=$D20,$D20&lt;=M$8+14,$E20&gt;=M$8),1,""))</f>
        <v/>
      </c>
      <c r="N20" s="16" t="str">
        <f aca="false">IF(OR($B20="",$D20="",$E20="",N$8=""),"",IF(AND($E20&gt;=$D20,$D20&lt;=N$8+14,$E20&gt;=N$8),1,""))</f>
        <v/>
      </c>
      <c r="O20" s="16" t="str">
        <f aca="false">IF(OR($B20="",$D20="",$E20="",O$8=""),"",IF(AND($E20&gt;=$D20,$D20&lt;=O$8+14,$E20&gt;=O$8),1,""))</f>
        <v/>
      </c>
      <c r="P20" s="16" t="str">
        <f aca="false">IF(OR($B20="",$D20="",$E20="",P$8=""),"",IF(AND($E20&gt;=$D20,$D20&lt;=P$8+14,$E20&gt;=P$8),1,""))</f>
        <v/>
      </c>
      <c r="Q20" s="16" t="str">
        <f aca="false">IF(OR($B20="",$D20="",$E20="",Q$8=""),"",IF(AND($E20&gt;=$D20,$D20&lt;=Q$8+14,$E20&gt;=Q$8),1,""))</f>
        <v/>
      </c>
      <c r="R20" s="16" t="str">
        <f aca="false">IF(OR($B20="",$D20="",$E20="",R$8=""),"",IF(AND($E20&gt;=$D20,$D20&lt;=R$8+14,$E20&gt;=R$8),1,""))</f>
        <v/>
      </c>
    </row>
    <row r="21" customFormat="false" ht="43" hidden="false" customHeight="true" outlineLevel="0" collapsed="false">
      <c r="A21" s="1"/>
      <c r="B21" s="13"/>
      <c r="C21" s="13"/>
      <c r="D21" s="14"/>
      <c r="E21" s="14"/>
      <c r="F21" s="15"/>
      <c r="G21" s="15"/>
      <c r="H21" s="13"/>
      <c r="I21" s="13"/>
      <c r="J21" s="13"/>
      <c r="K21" s="7" t="str">
        <f aca="false">IF(B21="","",IF(OR(D21="",E21=""),"Completar datas",IF(E21&lt;D21,"Rever datas",IF(AND(ISNUMBER($G$5),E21&lt;$G$5,F21&lt;&gt;"Concluído"),"Revisar prazo",""))))</f>
        <v/>
      </c>
      <c r="L21" s="1"/>
      <c r="M21" s="16" t="str">
        <f aca="false">IF(OR($B21="",$D21="",$E21="",M$8=""),"",IF(AND($E21&gt;=$D21,$D21&lt;=M$8+14,$E21&gt;=M$8),1,""))</f>
        <v/>
      </c>
      <c r="N21" s="16" t="str">
        <f aca="false">IF(OR($B21="",$D21="",$E21="",N$8=""),"",IF(AND($E21&gt;=$D21,$D21&lt;=N$8+14,$E21&gt;=N$8),1,""))</f>
        <v/>
      </c>
      <c r="O21" s="16" t="str">
        <f aca="false">IF(OR($B21="",$D21="",$E21="",O$8=""),"",IF(AND($E21&gt;=$D21,$D21&lt;=O$8+14,$E21&gt;=O$8),1,""))</f>
        <v/>
      </c>
      <c r="P21" s="16" t="str">
        <f aca="false">IF(OR($B21="",$D21="",$E21="",P$8=""),"",IF(AND($E21&gt;=$D21,$D21&lt;=P$8+14,$E21&gt;=P$8),1,""))</f>
        <v/>
      </c>
      <c r="Q21" s="16" t="str">
        <f aca="false">IF(OR($B21="",$D21="",$E21="",Q$8=""),"",IF(AND($E21&gt;=$D21,$D21&lt;=Q$8+14,$E21&gt;=Q$8),1,""))</f>
        <v/>
      </c>
      <c r="R21" s="16" t="str">
        <f aca="false">IF(OR($B21="",$D21="",$E21="",R$8=""),"",IF(AND($E21&gt;=$D21,$D21&lt;=R$8+14,$E21&gt;=R$8),1,""))</f>
        <v/>
      </c>
    </row>
    <row r="22" customFormat="false" ht="21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21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21" hidden="false" customHeight="true" outlineLevel="0" collapsed="false">
      <c r="A24" s="1"/>
      <c r="B24" s="17" t="s">
        <v>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21" hidden="false" customHeight="true" outlineLevel="0" collapsed="false">
      <c r="A25" s="1"/>
      <c r="B25" s="9" t="s">
        <v>54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21" hidden="false" customHeight="true" outlineLevel="0" collapsed="false">
      <c r="A26" s="1"/>
      <c r="B26" s="9" t="s">
        <v>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21" hidden="false" customHeight="true" outlineLevel="0" collapsed="false">
      <c r="A27" s="1"/>
      <c r="B27" s="9" t="s">
        <v>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21" hidden="false" customHeight="true" outlineLevel="0" collapsed="false">
      <c r="A28" s="1"/>
      <c r="B28" s="9" t="s">
        <v>57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21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conditionalFormatting sqref="F10:F21">
    <cfRule type="expression" priority="2" aboveAverage="0" equalAverage="0" bottom="0" percent="0" rank="0" text="" dxfId="45">
      <formula>$F10="A fazer"</formula>
    </cfRule>
    <cfRule type="expression" priority="3" aboveAverage="0" equalAverage="0" bottom="0" percent="0" rank="0" text="" dxfId="46">
      <formula>$F10="Em andamento"</formula>
    </cfRule>
    <cfRule type="expression" priority="4" aboveAverage="0" equalAverage="0" bottom="0" percent="0" rank="0" text="" dxfId="47">
      <formula>$F10="Em validação"</formula>
    </cfRule>
    <cfRule type="expression" priority="5" aboveAverage="0" equalAverage="0" bottom="0" percent="0" rank="0" text="" dxfId="48">
      <formula>$F10="Concluído"</formula>
    </cfRule>
    <cfRule type="expression" priority="6" aboveAverage="0" equalAverage="0" bottom="0" percent="0" rank="0" text="" dxfId="49">
      <formula>$F10="Bloqueado"</formula>
    </cfRule>
    <cfRule type="expression" priority="7" aboveAverage="0" equalAverage="0" bottom="0" percent="0" rank="0" text="" dxfId="50">
      <formula>$F10="Pausado"</formula>
    </cfRule>
  </conditionalFormatting>
  <conditionalFormatting sqref="M10:R21">
    <cfRule type="expression" priority="8" aboveAverage="0" equalAverage="0" bottom="0" percent="0" rank="0" text="" dxfId="51">
      <formula>AND(M10=1,$F10="A fazer")</formula>
    </cfRule>
    <cfRule type="expression" priority="9" aboveAverage="0" equalAverage="0" bottom="0" percent="0" rank="0" text="" dxfId="52">
      <formula>AND(M10=1,$F10="Em andamento")</formula>
    </cfRule>
    <cfRule type="expression" priority="10" aboveAverage="0" equalAverage="0" bottom="0" percent="0" rank="0" text="" dxfId="53">
      <formula>AND(M10=1,$F10="Em validação")</formula>
    </cfRule>
    <cfRule type="expression" priority="11" aboveAverage="0" equalAverage="0" bottom="0" percent="0" rank="0" text="" dxfId="54">
      <formula>AND(M10=1,$F10="Concluído")</formula>
    </cfRule>
    <cfRule type="expression" priority="12" aboveAverage="0" equalAverage="0" bottom="0" percent="0" rank="0" text="" dxfId="55">
      <formula>AND(M10=1,$F10="Bloqueado")</formula>
    </cfRule>
    <cfRule type="expression" priority="13" aboveAverage="0" equalAverage="0" bottom="0" percent="0" rank="0" text="" dxfId="56">
      <formula>AND(M10=1,$F10="Pausado")</formula>
    </cfRule>
    <cfRule type="expression" priority="14" aboveAverage="0" equalAverage="0" bottom="0" percent="0" rank="0" text="" dxfId="57">
      <formula>AND(M10=1,$F10="")</formula>
    </cfRule>
  </conditionalFormatting>
  <conditionalFormatting sqref="K10:K21">
    <cfRule type="containsText" priority="15" operator="containsText" aboveAverage="0" equalAverage="0" bottom="0" percent="0" rank="0" text="Rever datas" dxfId="58">
      <formula>NOT(ISERROR(SEARCH("Rever datas",K10)))</formula>
    </cfRule>
    <cfRule type="containsText" priority="16" operator="containsText" aboveAverage="0" equalAverage="0" bottom="0" percent="0" rank="0" text="Revisar" dxfId="59">
      <formula>NOT(ISERROR(SEARCH("Revisar",K10)))</formula>
    </cfRule>
  </conditionalFormatting>
  <dataValidations count="2">
    <dataValidation allowBlank="false" error="Selecione um dos seis status disponíveis no menu." errorStyle="stop" errorTitle="Escolha um status" operator="between" showDropDown="false" showErrorMessage="true" showInputMessage="false" sqref="F10:F21" type="list">
      <formula1>"A fazer,Em andamento,Em validação,Concluído,Bloqueado,Pausado"</formula1>
      <formula2>0</formula2>
    </dataValidation>
    <dataValidation allowBlank="false" error="Selecione Alta, Média ou Baixa no menu." errorStyle="stop" errorTitle="Escolha uma prioridade" operator="between" showDropDown="false" showErrorMessage="true" showInputMessage="false" sqref="G10:G21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B87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7.22"/>
    <col collapsed="false" customWidth="true" hidden="false" outlineLevel="0" max="3" min="3" style="0" width="15"/>
    <col collapsed="false" customWidth="true" hidden="false" outlineLevel="0" max="5" min="4" style="0" width="11.78"/>
    <col collapsed="false" customWidth="true" hidden="false" outlineLevel="0" max="6" min="6" style="0" width="15"/>
    <col collapsed="false" customWidth="true" hidden="false" outlineLevel="0" max="7" min="7" style="0" width="11.78"/>
    <col collapsed="false" customWidth="true" hidden="false" outlineLevel="0" max="8" min="8" style="0" width="12.78"/>
    <col collapsed="false" customWidth="true" hidden="false" outlineLevel="0" max="9" min="9" style="0" width="26.11"/>
    <col collapsed="false" customWidth="true" hidden="false" outlineLevel="0" max="10" min="10" style="0" width="27.22"/>
    <col collapsed="false" customWidth="true" hidden="false" outlineLevel="0" max="11" min="11" style="0" width="18.34"/>
    <col collapsed="false" customWidth="true" hidden="false" outlineLevel="0" max="12" min="12" style="0" width="2"/>
    <col collapsed="false" customWidth="true" hidden="false" outlineLevel="0" max="18" min="13" style="0" width="12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" hidden="false" customHeight="true" outlineLevel="0" collapsed="false">
      <c r="A2" s="1"/>
      <c r="B2" s="2" t="s">
        <v>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21" hidden="false" customHeight="true" outlineLevel="0" collapsed="false">
      <c r="A3" s="1"/>
      <c r="B3" s="10" t="s">
        <v>32</v>
      </c>
      <c r="C3" s="1"/>
      <c r="D3" s="1"/>
      <c r="E3" s="1"/>
      <c r="F3" s="1"/>
      <c r="G3" s="1"/>
      <c r="H3" s="1"/>
      <c r="I3" s="9" t="s">
        <v>85</v>
      </c>
      <c r="J3" s="1"/>
      <c r="K3" s="1"/>
      <c r="L3" s="1"/>
      <c r="M3" s="1"/>
      <c r="N3" s="1"/>
      <c r="O3" s="1"/>
      <c r="P3" s="1"/>
      <c r="Q3" s="1"/>
      <c r="R3" s="1"/>
    </row>
    <row r="4" customFormat="false" ht="2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1" hidden="false" customHeight="true" outlineLevel="0" collapsed="false">
      <c r="A5" s="1"/>
      <c r="B5" s="1" t="s">
        <v>34</v>
      </c>
      <c r="C5" s="11"/>
      <c r="D5" s="1"/>
      <c r="E5" s="1"/>
      <c r="F5" s="1" t="s">
        <v>35</v>
      </c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Format="false" ht="21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Format="false" ht="21" hidden="false" customHeight="true" outlineLevel="0" collapsed="false">
      <c r="A7" s="1"/>
      <c r="B7" s="9" t="s">
        <v>36</v>
      </c>
      <c r="C7" s="9"/>
      <c r="D7" s="9"/>
      <c r="E7" s="9"/>
      <c r="F7" s="9" t="s">
        <v>37</v>
      </c>
      <c r="G7" s="9"/>
      <c r="H7" s="9"/>
      <c r="I7" s="9"/>
      <c r="J7" s="9" t="s">
        <v>38</v>
      </c>
      <c r="K7" s="9"/>
      <c r="L7" s="1"/>
      <c r="M7" s="1"/>
      <c r="N7" s="1"/>
      <c r="O7" s="1"/>
      <c r="P7" s="1"/>
      <c r="Q7" s="1"/>
      <c r="R7" s="1"/>
    </row>
    <row r="8" customFormat="false" ht="21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2" t="str">
        <f aca="false">IF($C$5="","",EDATE($C$5,0))</f>
        <v/>
      </c>
      <c r="N8" s="12" t="str">
        <f aca="false">IF($C$5="","",EDATE($C$5,1))</f>
        <v/>
      </c>
      <c r="O8" s="12" t="str">
        <f aca="false">IF($C$5="","",EDATE($C$5,2))</f>
        <v/>
      </c>
      <c r="P8" s="12" t="str">
        <f aca="false">IF($C$5="","",EDATE($C$5,3))</f>
        <v/>
      </c>
      <c r="Q8" s="12" t="str">
        <f aca="false">IF($C$5="","",EDATE($C$5,4))</f>
        <v/>
      </c>
      <c r="R8" s="12" t="str">
        <f aca="false">IF($C$5="","",EDATE($C$5,5))</f>
        <v/>
      </c>
    </row>
    <row r="9" customFormat="false" ht="36" hidden="false" customHeight="true" outlineLevel="0" collapsed="false">
      <c r="A9" s="1"/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47</v>
      </c>
      <c r="K9" s="4" t="s">
        <v>48</v>
      </c>
      <c r="L9" s="1"/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4" t="s">
        <v>64</v>
      </c>
    </row>
    <row r="10" customFormat="false" ht="43" hidden="false" customHeight="true" outlineLevel="0" collapsed="false">
      <c r="A10" s="1"/>
      <c r="B10" s="13"/>
      <c r="C10" s="13"/>
      <c r="D10" s="14"/>
      <c r="E10" s="14"/>
      <c r="F10" s="15"/>
      <c r="G10" s="15"/>
      <c r="H10" s="13"/>
      <c r="I10" s="13"/>
      <c r="J10" s="13"/>
      <c r="K10" s="7" t="str">
        <f aca="false">IF(B10="","",IF(OR(D10="",E10=""),"Completar datas",IF(E10&lt;D10,"Rever datas",IF(AND(ISNUMBER($G$5),E10&lt;$G$5,F10&lt;&gt;"Concluído"),"Revisar prazo",""))))</f>
        <v/>
      </c>
      <c r="L10" s="1"/>
      <c r="M10" s="16" t="str">
        <f aca="false">IF(OR($B10="",$D10="",$E10="",M$8=""),"",IF(AND($E10&gt;=$D10,$D10&lt;=EDATE(M$8,1)-1,$E10&gt;=M$8),1,""))</f>
        <v/>
      </c>
      <c r="N10" s="16" t="str">
        <f aca="false">IF(OR($B10="",$D10="",$E10="",N$8=""),"",IF(AND($E10&gt;=$D10,$D10&lt;=EDATE(N$8,1)-1,$E10&gt;=N$8),1,""))</f>
        <v/>
      </c>
      <c r="O10" s="16" t="str">
        <f aca="false">IF(OR($B10="",$D10="",$E10="",O$8=""),"",IF(AND($E10&gt;=$D10,$D10&lt;=EDATE(O$8,1)-1,$E10&gt;=O$8),1,""))</f>
        <v/>
      </c>
      <c r="P10" s="16" t="str">
        <f aca="false">IF(OR($B10="",$D10="",$E10="",P$8=""),"",IF(AND($E10&gt;=$D10,$D10&lt;=EDATE(P$8,1)-1,$E10&gt;=P$8),1,""))</f>
        <v/>
      </c>
      <c r="Q10" s="16" t="str">
        <f aca="false">IF(OR($B10="",$D10="",$E10="",Q$8=""),"",IF(AND($E10&gt;=$D10,$D10&lt;=EDATE(Q$8,1)-1,$E10&gt;=Q$8),1,""))</f>
        <v/>
      </c>
      <c r="R10" s="16" t="str">
        <f aca="false">IF(OR($B10="",$D10="",$E10="",R$8=""),"",IF(AND($E10&gt;=$D10,$D10&lt;=EDATE(R$8,1)-1,$E10&gt;=R$8),1,""))</f>
        <v/>
      </c>
    </row>
    <row r="11" customFormat="false" ht="43" hidden="false" customHeight="true" outlineLevel="0" collapsed="false">
      <c r="A11" s="1"/>
      <c r="B11" s="13"/>
      <c r="C11" s="13"/>
      <c r="D11" s="14"/>
      <c r="E11" s="14"/>
      <c r="F11" s="15"/>
      <c r="G11" s="15"/>
      <c r="H11" s="13"/>
      <c r="I11" s="13"/>
      <c r="J11" s="13"/>
      <c r="K11" s="7" t="str">
        <f aca="false">IF(B11="","",IF(OR(D11="",E11=""),"Completar datas",IF(E11&lt;D11,"Rever datas",IF(AND(ISNUMBER($G$5),E11&lt;$G$5,F11&lt;&gt;"Concluído"),"Revisar prazo",""))))</f>
        <v/>
      </c>
      <c r="L11" s="1"/>
      <c r="M11" s="16" t="str">
        <f aca="false">IF(OR($B11="",$D11="",$E11="",M$8=""),"",IF(AND($E11&gt;=$D11,$D11&lt;=EDATE(M$8,1)-1,$E11&gt;=M$8),1,""))</f>
        <v/>
      </c>
      <c r="N11" s="16" t="str">
        <f aca="false">IF(OR($B11="",$D11="",$E11="",N$8=""),"",IF(AND($E11&gt;=$D11,$D11&lt;=EDATE(N$8,1)-1,$E11&gt;=N$8),1,""))</f>
        <v/>
      </c>
      <c r="O11" s="16" t="str">
        <f aca="false">IF(OR($B11="",$D11="",$E11="",O$8=""),"",IF(AND($E11&gt;=$D11,$D11&lt;=EDATE(O$8,1)-1,$E11&gt;=O$8),1,""))</f>
        <v/>
      </c>
      <c r="P11" s="16" t="str">
        <f aca="false">IF(OR($B11="",$D11="",$E11="",P$8=""),"",IF(AND($E11&gt;=$D11,$D11&lt;=EDATE(P$8,1)-1,$E11&gt;=P$8),1,""))</f>
        <v/>
      </c>
      <c r="Q11" s="16" t="str">
        <f aca="false">IF(OR($B11="",$D11="",$E11="",Q$8=""),"",IF(AND($E11&gt;=$D11,$D11&lt;=EDATE(Q$8,1)-1,$E11&gt;=Q$8),1,""))</f>
        <v/>
      </c>
      <c r="R11" s="16" t="str">
        <f aca="false">IF(OR($B11="",$D11="",$E11="",R$8=""),"",IF(AND($E11&gt;=$D11,$D11&lt;=EDATE(R$8,1)-1,$E11&gt;=R$8),1,""))</f>
        <v/>
      </c>
    </row>
    <row r="12" customFormat="false" ht="43" hidden="false" customHeight="true" outlineLevel="0" collapsed="false">
      <c r="A12" s="1"/>
      <c r="B12" s="13"/>
      <c r="C12" s="13"/>
      <c r="D12" s="14"/>
      <c r="E12" s="14"/>
      <c r="F12" s="15"/>
      <c r="G12" s="15"/>
      <c r="H12" s="13"/>
      <c r="I12" s="13"/>
      <c r="J12" s="13"/>
      <c r="K12" s="7" t="str">
        <f aca="false">IF(B12="","",IF(OR(D12="",E12=""),"Completar datas",IF(E12&lt;D12,"Rever datas",IF(AND(ISNUMBER($G$5),E12&lt;$G$5,F12&lt;&gt;"Concluído"),"Revisar prazo",""))))</f>
        <v/>
      </c>
      <c r="L12" s="1"/>
      <c r="M12" s="16" t="str">
        <f aca="false">IF(OR($B12="",$D12="",$E12="",M$8=""),"",IF(AND($E12&gt;=$D12,$D12&lt;=EDATE(M$8,1)-1,$E12&gt;=M$8),1,""))</f>
        <v/>
      </c>
      <c r="N12" s="16" t="str">
        <f aca="false">IF(OR($B12="",$D12="",$E12="",N$8=""),"",IF(AND($E12&gt;=$D12,$D12&lt;=EDATE(N$8,1)-1,$E12&gt;=N$8),1,""))</f>
        <v/>
      </c>
      <c r="O12" s="16" t="str">
        <f aca="false">IF(OR($B12="",$D12="",$E12="",O$8=""),"",IF(AND($E12&gt;=$D12,$D12&lt;=EDATE(O$8,1)-1,$E12&gt;=O$8),1,""))</f>
        <v/>
      </c>
      <c r="P12" s="16" t="str">
        <f aca="false">IF(OR($B12="",$D12="",$E12="",P$8=""),"",IF(AND($E12&gt;=$D12,$D12&lt;=EDATE(P$8,1)-1,$E12&gt;=P$8),1,""))</f>
        <v/>
      </c>
      <c r="Q12" s="16" t="str">
        <f aca="false">IF(OR($B12="",$D12="",$E12="",Q$8=""),"",IF(AND($E12&gt;=$D12,$D12&lt;=EDATE(Q$8,1)-1,$E12&gt;=Q$8),1,""))</f>
        <v/>
      </c>
      <c r="R12" s="16" t="str">
        <f aca="false">IF(OR($B12="",$D12="",$E12="",R$8=""),"",IF(AND($E12&gt;=$D12,$D12&lt;=EDATE(R$8,1)-1,$E12&gt;=R$8),1,""))</f>
        <v/>
      </c>
    </row>
    <row r="13" customFormat="false" ht="43" hidden="false" customHeight="true" outlineLevel="0" collapsed="false">
      <c r="A13" s="1"/>
      <c r="B13" s="13"/>
      <c r="C13" s="13"/>
      <c r="D13" s="14"/>
      <c r="E13" s="14"/>
      <c r="F13" s="15"/>
      <c r="G13" s="15"/>
      <c r="H13" s="13"/>
      <c r="I13" s="13"/>
      <c r="J13" s="13"/>
      <c r="K13" s="7" t="str">
        <f aca="false">IF(B13="","",IF(OR(D13="",E13=""),"Completar datas",IF(E13&lt;D13,"Rever datas",IF(AND(ISNUMBER($G$5),E13&lt;$G$5,F13&lt;&gt;"Concluído"),"Revisar prazo",""))))</f>
        <v/>
      </c>
      <c r="L13" s="1"/>
      <c r="M13" s="16" t="str">
        <f aca="false">IF(OR($B13="",$D13="",$E13="",M$8=""),"",IF(AND($E13&gt;=$D13,$D13&lt;=EDATE(M$8,1)-1,$E13&gt;=M$8),1,""))</f>
        <v/>
      </c>
      <c r="N13" s="16" t="str">
        <f aca="false">IF(OR($B13="",$D13="",$E13="",N$8=""),"",IF(AND($E13&gt;=$D13,$D13&lt;=EDATE(N$8,1)-1,$E13&gt;=N$8),1,""))</f>
        <v/>
      </c>
      <c r="O13" s="16" t="str">
        <f aca="false">IF(OR($B13="",$D13="",$E13="",O$8=""),"",IF(AND($E13&gt;=$D13,$D13&lt;=EDATE(O$8,1)-1,$E13&gt;=O$8),1,""))</f>
        <v/>
      </c>
      <c r="P13" s="16" t="str">
        <f aca="false">IF(OR($B13="",$D13="",$E13="",P$8=""),"",IF(AND($E13&gt;=$D13,$D13&lt;=EDATE(P$8,1)-1,$E13&gt;=P$8),1,""))</f>
        <v/>
      </c>
      <c r="Q13" s="16" t="str">
        <f aca="false">IF(OR($B13="",$D13="",$E13="",Q$8=""),"",IF(AND($E13&gt;=$D13,$D13&lt;=EDATE(Q$8,1)-1,$E13&gt;=Q$8),1,""))</f>
        <v/>
      </c>
      <c r="R13" s="16" t="str">
        <f aca="false">IF(OR($B13="",$D13="",$E13="",R$8=""),"",IF(AND($E13&gt;=$D13,$D13&lt;=EDATE(R$8,1)-1,$E13&gt;=R$8),1,""))</f>
        <v/>
      </c>
    </row>
    <row r="14" customFormat="false" ht="43" hidden="false" customHeight="true" outlineLevel="0" collapsed="false">
      <c r="A14" s="1"/>
      <c r="B14" s="13"/>
      <c r="C14" s="13"/>
      <c r="D14" s="14"/>
      <c r="E14" s="14"/>
      <c r="F14" s="15"/>
      <c r="G14" s="15"/>
      <c r="H14" s="13"/>
      <c r="I14" s="13"/>
      <c r="J14" s="13"/>
      <c r="K14" s="7" t="str">
        <f aca="false">IF(B14="","",IF(OR(D14="",E14=""),"Completar datas",IF(E14&lt;D14,"Rever datas",IF(AND(ISNUMBER($G$5),E14&lt;$G$5,F14&lt;&gt;"Concluído"),"Revisar prazo",""))))</f>
        <v/>
      </c>
      <c r="L14" s="1"/>
      <c r="M14" s="16" t="str">
        <f aca="false">IF(OR($B14="",$D14="",$E14="",M$8=""),"",IF(AND($E14&gt;=$D14,$D14&lt;=EDATE(M$8,1)-1,$E14&gt;=M$8),1,""))</f>
        <v/>
      </c>
      <c r="N14" s="16" t="str">
        <f aca="false">IF(OR($B14="",$D14="",$E14="",N$8=""),"",IF(AND($E14&gt;=$D14,$D14&lt;=EDATE(N$8,1)-1,$E14&gt;=N$8),1,""))</f>
        <v/>
      </c>
      <c r="O14" s="16" t="str">
        <f aca="false">IF(OR($B14="",$D14="",$E14="",O$8=""),"",IF(AND($E14&gt;=$D14,$D14&lt;=EDATE(O$8,1)-1,$E14&gt;=O$8),1,""))</f>
        <v/>
      </c>
      <c r="P14" s="16" t="str">
        <f aca="false">IF(OR($B14="",$D14="",$E14="",P$8=""),"",IF(AND($E14&gt;=$D14,$D14&lt;=EDATE(P$8,1)-1,$E14&gt;=P$8),1,""))</f>
        <v/>
      </c>
      <c r="Q14" s="16" t="str">
        <f aca="false">IF(OR($B14="",$D14="",$E14="",Q$8=""),"",IF(AND($E14&gt;=$D14,$D14&lt;=EDATE(Q$8,1)-1,$E14&gt;=Q$8),1,""))</f>
        <v/>
      </c>
      <c r="R14" s="16" t="str">
        <f aca="false">IF(OR($B14="",$D14="",$E14="",R$8=""),"",IF(AND($E14&gt;=$D14,$D14&lt;=EDATE(R$8,1)-1,$E14&gt;=R$8),1,""))</f>
        <v/>
      </c>
    </row>
    <row r="15" customFormat="false" ht="43" hidden="false" customHeight="true" outlineLevel="0" collapsed="false">
      <c r="A15" s="1"/>
      <c r="B15" s="13"/>
      <c r="C15" s="13"/>
      <c r="D15" s="14"/>
      <c r="E15" s="14"/>
      <c r="F15" s="15"/>
      <c r="G15" s="15"/>
      <c r="H15" s="13"/>
      <c r="I15" s="13"/>
      <c r="J15" s="13"/>
      <c r="K15" s="7" t="str">
        <f aca="false">IF(B15="","",IF(OR(D15="",E15=""),"Completar datas",IF(E15&lt;D15,"Rever datas",IF(AND(ISNUMBER($G$5),E15&lt;$G$5,F15&lt;&gt;"Concluído"),"Revisar prazo",""))))</f>
        <v/>
      </c>
      <c r="L15" s="1"/>
      <c r="M15" s="16" t="str">
        <f aca="false">IF(OR($B15="",$D15="",$E15="",M$8=""),"",IF(AND($E15&gt;=$D15,$D15&lt;=EDATE(M$8,1)-1,$E15&gt;=M$8),1,""))</f>
        <v/>
      </c>
      <c r="N15" s="16" t="str">
        <f aca="false">IF(OR($B15="",$D15="",$E15="",N$8=""),"",IF(AND($E15&gt;=$D15,$D15&lt;=EDATE(N$8,1)-1,$E15&gt;=N$8),1,""))</f>
        <v/>
      </c>
      <c r="O15" s="16" t="str">
        <f aca="false">IF(OR($B15="",$D15="",$E15="",O$8=""),"",IF(AND($E15&gt;=$D15,$D15&lt;=EDATE(O$8,1)-1,$E15&gt;=O$8),1,""))</f>
        <v/>
      </c>
      <c r="P15" s="16" t="str">
        <f aca="false">IF(OR($B15="",$D15="",$E15="",P$8=""),"",IF(AND($E15&gt;=$D15,$D15&lt;=EDATE(P$8,1)-1,$E15&gt;=P$8),1,""))</f>
        <v/>
      </c>
      <c r="Q15" s="16" t="str">
        <f aca="false">IF(OR($B15="",$D15="",$E15="",Q$8=""),"",IF(AND($E15&gt;=$D15,$D15&lt;=EDATE(Q$8,1)-1,$E15&gt;=Q$8),1,""))</f>
        <v/>
      </c>
      <c r="R15" s="16" t="str">
        <f aca="false">IF(OR($B15="",$D15="",$E15="",R$8=""),"",IF(AND($E15&gt;=$D15,$D15&lt;=EDATE(R$8,1)-1,$E15&gt;=R$8),1,""))</f>
        <v/>
      </c>
    </row>
    <row r="16" customFormat="false" ht="43" hidden="false" customHeight="true" outlineLevel="0" collapsed="false">
      <c r="A16" s="1"/>
      <c r="B16" s="13"/>
      <c r="C16" s="13"/>
      <c r="D16" s="14"/>
      <c r="E16" s="14"/>
      <c r="F16" s="15"/>
      <c r="G16" s="15"/>
      <c r="H16" s="13"/>
      <c r="I16" s="13"/>
      <c r="J16" s="13"/>
      <c r="K16" s="7" t="str">
        <f aca="false">IF(B16="","",IF(OR(D16="",E16=""),"Completar datas",IF(E16&lt;D16,"Rever datas",IF(AND(ISNUMBER($G$5),E16&lt;$G$5,F16&lt;&gt;"Concluído"),"Revisar prazo",""))))</f>
        <v/>
      </c>
      <c r="L16" s="1"/>
      <c r="M16" s="16" t="str">
        <f aca="false">IF(OR($B16="",$D16="",$E16="",M$8=""),"",IF(AND($E16&gt;=$D16,$D16&lt;=EDATE(M$8,1)-1,$E16&gt;=M$8),1,""))</f>
        <v/>
      </c>
      <c r="N16" s="16" t="str">
        <f aca="false">IF(OR($B16="",$D16="",$E16="",N$8=""),"",IF(AND($E16&gt;=$D16,$D16&lt;=EDATE(N$8,1)-1,$E16&gt;=N$8),1,""))</f>
        <v/>
      </c>
      <c r="O16" s="16" t="str">
        <f aca="false">IF(OR($B16="",$D16="",$E16="",O$8=""),"",IF(AND($E16&gt;=$D16,$D16&lt;=EDATE(O$8,1)-1,$E16&gt;=O$8),1,""))</f>
        <v/>
      </c>
      <c r="P16" s="16" t="str">
        <f aca="false">IF(OR($B16="",$D16="",$E16="",P$8=""),"",IF(AND($E16&gt;=$D16,$D16&lt;=EDATE(P$8,1)-1,$E16&gt;=P$8),1,""))</f>
        <v/>
      </c>
      <c r="Q16" s="16" t="str">
        <f aca="false">IF(OR($B16="",$D16="",$E16="",Q$8=""),"",IF(AND($E16&gt;=$D16,$D16&lt;=EDATE(Q$8,1)-1,$E16&gt;=Q$8),1,""))</f>
        <v/>
      </c>
      <c r="R16" s="16" t="str">
        <f aca="false">IF(OR($B16="",$D16="",$E16="",R$8=""),"",IF(AND($E16&gt;=$D16,$D16&lt;=EDATE(R$8,1)-1,$E16&gt;=R$8),1,""))</f>
        <v/>
      </c>
    </row>
    <row r="17" customFormat="false" ht="43" hidden="false" customHeight="true" outlineLevel="0" collapsed="false">
      <c r="A17" s="1"/>
      <c r="B17" s="13"/>
      <c r="C17" s="13"/>
      <c r="D17" s="14"/>
      <c r="E17" s="14"/>
      <c r="F17" s="15"/>
      <c r="G17" s="15"/>
      <c r="H17" s="13"/>
      <c r="I17" s="13"/>
      <c r="J17" s="13"/>
      <c r="K17" s="7" t="str">
        <f aca="false">IF(B17="","",IF(OR(D17="",E17=""),"Completar datas",IF(E17&lt;D17,"Rever datas",IF(AND(ISNUMBER($G$5),E17&lt;$G$5,F17&lt;&gt;"Concluído"),"Revisar prazo",""))))</f>
        <v/>
      </c>
      <c r="L17" s="1"/>
      <c r="M17" s="16" t="str">
        <f aca="false">IF(OR($B17="",$D17="",$E17="",M$8=""),"",IF(AND($E17&gt;=$D17,$D17&lt;=EDATE(M$8,1)-1,$E17&gt;=M$8),1,""))</f>
        <v/>
      </c>
      <c r="N17" s="16" t="str">
        <f aca="false">IF(OR($B17="",$D17="",$E17="",N$8=""),"",IF(AND($E17&gt;=$D17,$D17&lt;=EDATE(N$8,1)-1,$E17&gt;=N$8),1,""))</f>
        <v/>
      </c>
      <c r="O17" s="16" t="str">
        <f aca="false">IF(OR($B17="",$D17="",$E17="",O$8=""),"",IF(AND($E17&gt;=$D17,$D17&lt;=EDATE(O$8,1)-1,$E17&gt;=O$8),1,""))</f>
        <v/>
      </c>
      <c r="P17" s="16" t="str">
        <f aca="false">IF(OR($B17="",$D17="",$E17="",P$8=""),"",IF(AND($E17&gt;=$D17,$D17&lt;=EDATE(P$8,1)-1,$E17&gt;=P$8),1,""))</f>
        <v/>
      </c>
      <c r="Q17" s="16" t="str">
        <f aca="false">IF(OR($B17="",$D17="",$E17="",Q$8=""),"",IF(AND($E17&gt;=$D17,$D17&lt;=EDATE(Q$8,1)-1,$E17&gt;=Q$8),1,""))</f>
        <v/>
      </c>
      <c r="R17" s="16" t="str">
        <f aca="false">IF(OR($B17="",$D17="",$E17="",R$8=""),"",IF(AND($E17&gt;=$D17,$D17&lt;=EDATE(R$8,1)-1,$E17&gt;=R$8),1,""))</f>
        <v/>
      </c>
    </row>
    <row r="18" customFormat="false" ht="43" hidden="false" customHeight="true" outlineLevel="0" collapsed="false">
      <c r="A18" s="1"/>
      <c r="B18" s="13"/>
      <c r="C18" s="13"/>
      <c r="D18" s="14"/>
      <c r="E18" s="14"/>
      <c r="F18" s="15"/>
      <c r="G18" s="15"/>
      <c r="H18" s="13"/>
      <c r="I18" s="13"/>
      <c r="J18" s="13"/>
      <c r="K18" s="7" t="str">
        <f aca="false">IF(B18="","",IF(OR(D18="",E18=""),"Completar datas",IF(E18&lt;D18,"Rever datas",IF(AND(ISNUMBER($G$5),E18&lt;$G$5,F18&lt;&gt;"Concluído"),"Revisar prazo",""))))</f>
        <v/>
      </c>
      <c r="L18" s="1"/>
      <c r="M18" s="16" t="str">
        <f aca="false">IF(OR($B18="",$D18="",$E18="",M$8=""),"",IF(AND($E18&gt;=$D18,$D18&lt;=EDATE(M$8,1)-1,$E18&gt;=M$8),1,""))</f>
        <v/>
      </c>
      <c r="N18" s="16" t="str">
        <f aca="false">IF(OR($B18="",$D18="",$E18="",N$8=""),"",IF(AND($E18&gt;=$D18,$D18&lt;=EDATE(N$8,1)-1,$E18&gt;=N$8),1,""))</f>
        <v/>
      </c>
      <c r="O18" s="16" t="str">
        <f aca="false">IF(OR($B18="",$D18="",$E18="",O$8=""),"",IF(AND($E18&gt;=$D18,$D18&lt;=EDATE(O$8,1)-1,$E18&gt;=O$8),1,""))</f>
        <v/>
      </c>
      <c r="P18" s="16" t="str">
        <f aca="false">IF(OR($B18="",$D18="",$E18="",P$8=""),"",IF(AND($E18&gt;=$D18,$D18&lt;=EDATE(P$8,1)-1,$E18&gt;=P$8),1,""))</f>
        <v/>
      </c>
      <c r="Q18" s="16" t="str">
        <f aca="false">IF(OR($B18="",$D18="",$E18="",Q$8=""),"",IF(AND($E18&gt;=$D18,$D18&lt;=EDATE(Q$8,1)-1,$E18&gt;=Q$8),1,""))</f>
        <v/>
      </c>
      <c r="R18" s="16" t="str">
        <f aca="false">IF(OR($B18="",$D18="",$E18="",R$8=""),"",IF(AND($E18&gt;=$D18,$D18&lt;=EDATE(R$8,1)-1,$E18&gt;=R$8),1,""))</f>
        <v/>
      </c>
    </row>
    <row r="19" customFormat="false" ht="43" hidden="false" customHeight="true" outlineLevel="0" collapsed="false">
      <c r="A19" s="1"/>
      <c r="B19" s="13"/>
      <c r="C19" s="13"/>
      <c r="D19" s="14"/>
      <c r="E19" s="14"/>
      <c r="F19" s="15"/>
      <c r="G19" s="15"/>
      <c r="H19" s="13"/>
      <c r="I19" s="13"/>
      <c r="J19" s="13"/>
      <c r="K19" s="7" t="str">
        <f aca="false">IF(B19="","",IF(OR(D19="",E19=""),"Completar datas",IF(E19&lt;D19,"Rever datas",IF(AND(ISNUMBER($G$5),E19&lt;$G$5,F19&lt;&gt;"Concluído"),"Revisar prazo",""))))</f>
        <v/>
      </c>
      <c r="L19" s="1"/>
      <c r="M19" s="16" t="str">
        <f aca="false">IF(OR($B19="",$D19="",$E19="",M$8=""),"",IF(AND($E19&gt;=$D19,$D19&lt;=EDATE(M$8,1)-1,$E19&gt;=M$8),1,""))</f>
        <v/>
      </c>
      <c r="N19" s="16" t="str">
        <f aca="false">IF(OR($B19="",$D19="",$E19="",N$8=""),"",IF(AND($E19&gt;=$D19,$D19&lt;=EDATE(N$8,1)-1,$E19&gt;=N$8),1,""))</f>
        <v/>
      </c>
      <c r="O19" s="16" t="str">
        <f aca="false">IF(OR($B19="",$D19="",$E19="",O$8=""),"",IF(AND($E19&gt;=$D19,$D19&lt;=EDATE(O$8,1)-1,$E19&gt;=O$8),1,""))</f>
        <v/>
      </c>
      <c r="P19" s="16" t="str">
        <f aca="false">IF(OR($B19="",$D19="",$E19="",P$8=""),"",IF(AND($E19&gt;=$D19,$D19&lt;=EDATE(P$8,1)-1,$E19&gt;=P$8),1,""))</f>
        <v/>
      </c>
      <c r="Q19" s="16" t="str">
        <f aca="false">IF(OR($B19="",$D19="",$E19="",Q$8=""),"",IF(AND($E19&gt;=$D19,$D19&lt;=EDATE(Q$8,1)-1,$E19&gt;=Q$8),1,""))</f>
        <v/>
      </c>
      <c r="R19" s="16" t="str">
        <f aca="false">IF(OR($B19="",$D19="",$E19="",R$8=""),"",IF(AND($E19&gt;=$D19,$D19&lt;=EDATE(R$8,1)-1,$E19&gt;=R$8),1,""))</f>
        <v/>
      </c>
    </row>
    <row r="20" customFormat="false" ht="43" hidden="false" customHeight="true" outlineLevel="0" collapsed="false">
      <c r="A20" s="1"/>
      <c r="B20" s="13"/>
      <c r="C20" s="13"/>
      <c r="D20" s="14"/>
      <c r="E20" s="14"/>
      <c r="F20" s="15"/>
      <c r="G20" s="15"/>
      <c r="H20" s="13"/>
      <c r="I20" s="13"/>
      <c r="J20" s="13"/>
      <c r="K20" s="7" t="str">
        <f aca="false">IF(B20="","",IF(OR(D20="",E20=""),"Completar datas",IF(E20&lt;D20,"Rever datas",IF(AND(ISNUMBER($G$5),E20&lt;$G$5,F20&lt;&gt;"Concluído"),"Revisar prazo",""))))</f>
        <v/>
      </c>
      <c r="L20" s="1"/>
      <c r="M20" s="16" t="str">
        <f aca="false">IF(OR($B20="",$D20="",$E20="",M$8=""),"",IF(AND($E20&gt;=$D20,$D20&lt;=EDATE(M$8,1)-1,$E20&gt;=M$8),1,""))</f>
        <v/>
      </c>
      <c r="N20" s="16" t="str">
        <f aca="false">IF(OR($B20="",$D20="",$E20="",N$8=""),"",IF(AND($E20&gt;=$D20,$D20&lt;=EDATE(N$8,1)-1,$E20&gt;=N$8),1,""))</f>
        <v/>
      </c>
      <c r="O20" s="16" t="str">
        <f aca="false">IF(OR($B20="",$D20="",$E20="",O$8=""),"",IF(AND($E20&gt;=$D20,$D20&lt;=EDATE(O$8,1)-1,$E20&gt;=O$8),1,""))</f>
        <v/>
      </c>
      <c r="P20" s="16" t="str">
        <f aca="false">IF(OR($B20="",$D20="",$E20="",P$8=""),"",IF(AND($E20&gt;=$D20,$D20&lt;=EDATE(P$8,1)-1,$E20&gt;=P$8),1,""))</f>
        <v/>
      </c>
      <c r="Q20" s="16" t="str">
        <f aca="false">IF(OR($B20="",$D20="",$E20="",Q$8=""),"",IF(AND($E20&gt;=$D20,$D20&lt;=EDATE(Q$8,1)-1,$E20&gt;=Q$8),1,""))</f>
        <v/>
      </c>
      <c r="R20" s="16" t="str">
        <f aca="false">IF(OR($B20="",$D20="",$E20="",R$8=""),"",IF(AND($E20&gt;=$D20,$D20&lt;=EDATE(R$8,1)-1,$E20&gt;=R$8),1,""))</f>
        <v/>
      </c>
    </row>
    <row r="21" customFormat="false" ht="43" hidden="false" customHeight="true" outlineLevel="0" collapsed="false">
      <c r="A21" s="1"/>
      <c r="B21" s="13"/>
      <c r="C21" s="13"/>
      <c r="D21" s="14"/>
      <c r="E21" s="14"/>
      <c r="F21" s="15"/>
      <c r="G21" s="15"/>
      <c r="H21" s="13"/>
      <c r="I21" s="13"/>
      <c r="J21" s="13"/>
      <c r="K21" s="7" t="str">
        <f aca="false">IF(B21="","",IF(OR(D21="",E21=""),"Completar datas",IF(E21&lt;D21,"Rever datas",IF(AND(ISNUMBER($G$5),E21&lt;$G$5,F21&lt;&gt;"Concluído"),"Revisar prazo",""))))</f>
        <v/>
      </c>
      <c r="L21" s="1"/>
      <c r="M21" s="16" t="str">
        <f aca="false">IF(OR($B21="",$D21="",$E21="",M$8=""),"",IF(AND($E21&gt;=$D21,$D21&lt;=EDATE(M$8,1)-1,$E21&gt;=M$8),1,""))</f>
        <v/>
      </c>
      <c r="N21" s="16" t="str">
        <f aca="false">IF(OR($B21="",$D21="",$E21="",N$8=""),"",IF(AND($E21&gt;=$D21,$D21&lt;=EDATE(N$8,1)-1,$E21&gt;=N$8),1,""))</f>
        <v/>
      </c>
      <c r="O21" s="16" t="str">
        <f aca="false">IF(OR($B21="",$D21="",$E21="",O$8=""),"",IF(AND($E21&gt;=$D21,$D21&lt;=EDATE(O$8,1)-1,$E21&gt;=O$8),1,""))</f>
        <v/>
      </c>
      <c r="P21" s="16" t="str">
        <f aca="false">IF(OR($B21="",$D21="",$E21="",P$8=""),"",IF(AND($E21&gt;=$D21,$D21&lt;=EDATE(P$8,1)-1,$E21&gt;=P$8),1,""))</f>
        <v/>
      </c>
      <c r="Q21" s="16" t="str">
        <f aca="false">IF(OR($B21="",$D21="",$E21="",Q$8=""),"",IF(AND($E21&gt;=$D21,$D21&lt;=EDATE(Q$8,1)-1,$E21&gt;=Q$8),1,""))</f>
        <v/>
      </c>
      <c r="R21" s="16" t="str">
        <f aca="false">IF(OR($B21="",$D21="",$E21="",R$8=""),"",IF(AND($E21&gt;=$D21,$D21&lt;=EDATE(R$8,1)-1,$E21&gt;=R$8),1,""))</f>
        <v/>
      </c>
    </row>
    <row r="22" customFormat="false" ht="21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21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21" hidden="false" customHeight="true" outlineLevel="0" collapsed="false">
      <c r="A24" s="1"/>
      <c r="B24" s="17" t="s">
        <v>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21" hidden="false" customHeight="true" outlineLevel="0" collapsed="false">
      <c r="A25" s="1"/>
      <c r="B25" s="9" t="s">
        <v>54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21" hidden="false" customHeight="true" outlineLevel="0" collapsed="false">
      <c r="A26" s="1"/>
      <c r="B26" s="9" t="s">
        <v>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21" hidden="false" customHeight="true" outlineLevel="0" collapsed="false">
      <c r="A27" s="1"/>
      <c r="B27" s="9" t="s">
        <v>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21" hidden="false" customHeight="true" outlineLevel="0" collapsed="false">
      <c r="A28" s="1"/>
      <c r="B28" s="9" t="s">
        <v>57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21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conditionalFormatting sqref="F10:F21">
    <cfRule type="expression" priority="2" aboveAverage="0" equalAverage="0" bottom="0" percent="0" rank="0" text="" dxfId="60">
      <formula>$F10="A fazer"</formula>
    </cfRule>
    <cfRule type="expression" priority="3" aboveAverage="0" equalAverage="0" bottom="0" percent="0" rank="0" text="" dxfId="61">
      <formula>$F10="Em andamento"</formula>
    </cfRule>
    <cfRule type="expression" priority="4" aboveAverage="0" equalAverage="0" bottom="0" percent="0" rank="0" text="" dxfId="62">
      <formula>$F10="Em validação"</formula>
    </cfRule>
    <cfRule type="expression" priority="5" aboveAverage="0" equalAverage="0" bottom="0" percent="0" rank="0" text="" dxfId="63">
      <formula>$F10="Concluído"</formula>
    </cfRule>
    <cfRule type="expression" priority="6" aboveAverage="0" equalAverage="0" bottom="0" percent="0" rank="0" text="" dxfId="64">
      <formula>$F10="Bloqueado"</formula>
    </cfRule>
    <cfRule type="expression" priority="7" aboveAverage="0" equalAverage="0" bottom="0" percent="0" rank="0" text="" dxfId="65">
      <formula>$F10="Pausado"</formula>
    </cfRule>
  </conditionalFormatting>
  <conditionalFormatting sqref="M10:R21">
    <cfRule type="expression" priority="8" aboveAverage="0" equalAverage="0" bottom="0" percent="0" rank="0" text="" dxfId="66">
      <formula>AND(M10=1,$F10="A fazer")</formula>
    </cfRule>
    <cfRule type="expression" priority="9" aboveAverage="0" equalAverage="0" bottom="0" percent="0" rank="0" text="" dxfId="67">
      <formula>AND(M10=1,$F10="Em andamento")</formula>
    </cfRule>
    <cfRule type="expression" priority="10" aboveAverage="0" equalAverage="0" bottom="0" percent="0" rank="0" text="" dxfId="68">
      <formula>AND(M10=1,$F10="Em validação")</formula>
    </cfRule>
    <cfRule type="expression" priority="11" aboveAverage="0" equalAverage="0" bottom="0" percent="0" rank="0" text="" dxfId="69">
      <formula>AND(M10=1,$F10="Concluído")</formula>
    </cfRule>
    <cfRule type="expression" priority="12" aboveAverage="0" equalAverage="0" bottom="0" percent="0" rank="0" text="" dxfId="70">
      <formula>AND(M10=1,$F10="Bloqueado")</formula>
    </cfRule>
    <cfRule type="expression" priority="13" aboveAverage="0" equalAverage="0" bottom="0" percent="0" rank="0" text="" dxfId="71">
      <formula>AND(M10=1,$F10="Pausado")</formula>
    </cfRule>
    <cfRule type="expression" priority="14" aboveAverage="0" equalAverage="0" bottom="0" percent="0" rank="0" text="" dxfId="72">
      <formula>AND(M10=1,$F10="")</formula>
    </cfRule>
  </conditionalFormatting>
  <conditionalFormatting sqref="K10:K21">
    <cfRule type="containsText" priority="15" operator="containsText" aboveAverage="0" equalAverage="0" bottom="0" percent="0" rank="0" text="Rever datas" dxfId="73">
      <formula>NOT(ISERROR(SEARCH("Rever datas",K10)))</formula>
    </cfRule>
    <cfRule type="containsText" priority="16" operator="containsText" aboveAverage="0" equalAverage="0" bottom="0" percent="0" rank="0" text="Revisar" dxfId="74">
      <formula>NOT(ISERROR(SEARCH("Revisar",K10)))</formula>
    </cfRule>
  </conditionalFormatting>
  <dataValidations count="2">
    <dataValidation allowBlank="false" error="Selecione um dos seis status disponíveis no menu." errorStyle="stop" errorTitle="Escolha um status" operator="between" showDropDown="false" showErrorMessage="true" showInputMessage="false" sqref="F10:F21" type="list">
      <formula1>"A fazer,Em andamento,Em validação,Concluído,Bloqueado,Pausado"</formula1>
      <formula2>0</formula2>
    </dataValidation>
    <dataValidation allowBlank="false" error="Selecione Alta, Média ou Baixa no menu." errorStyle="stop" errorTitle="Escolha uma prioridade" operator="between" showDropDown="false" showErrorMessage="true" showInputMessage="false" sqref="G10:G21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B87"/>
    <pageSetUpPr fitToPage="false"/>
  </sheetPr>
  <dimension ref="A1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7.22"/>
    <col collapsed="false" customWidth="true" hidden="false" outlineLevel="0" max="3" min="3" style="0" width="15"/>
    <col collapsed="false" customWidth="true" hidden="false" outlineLevel="0" max="5" min="4" style="0" width="11.78"/>
    <col collapsed="false" customWidth="true" hidden="false" outlineLevel="0" max="6" min="6" style="0" width="15"/>
    <col collapsed="false" customWidth="true" hidden="false" outlineLevel="0" max="7" min="7" style="0" width="11.78"/>
    <col collapsed="false" customWidth="true" hidden="false" outlineLevel="0" max="8" min="8" style="0" width="12.78"/>
    <col collapsed="false" customWidth="true" hidden="false" outlineLevel="0" max="9" min="9" style="0" width="26.11"/>
    <col collapsed="false" customWidth="true" hidden="false" outlineLevel="0" max="10" min="10" style="0" width="27.22"/>
    <col collapsed="false" customWidth="true" hidden="false" outlineLevel="0" max="11" min="11" style="0" width="18.34"/>
    <col collapsed="false" customWidth="true" hidden="false" outlineLevel="0" max="12" min="12" style="0" width="2"/>
    <col collapsed="false" customWidth="true" hidden="false" outlineLevel="0" max="15" min="13" style="0" width="23.33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" hidden="false" customHeight="true" outlineLevel="0" collapsed="false">
      <c r="A2" s="1"/>
      <c r="B2" s="2" t="s">
        <v>17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21" hidden="false" customHeight="true" outlineLevel="0" collapsed="false">
      <c r="A3" s="1"/>
      <c r="B3" s="10" t="s">
        <v>32</v>
      </c>
      <c r="C3" s="1"/>
      <c r="D3" s="1"/>
      <c r="E3" s="1"/>
      <c r="F3" s="1"/>
      <c r="G3" s="1"/>
      <c r="H3" s="1"/>
      <c r="I3" s="9" t="s">
        <v>86</v>
      </c>
      <c r="J3" s="1"/>
      <c r="K3" s="1"/>
      <c r="L3" s="1"/>
      <c r="M3" s="1"/>
      <c r="N3" s="1"/>
      <c r="O3" s="1"/>
    </row>
    <row r="4" customFormat="false" ht="2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21" hidden="false" customHeight="true" outlineLevel="0" collapsed="false">
      <c r="A5" s="1"/>
      <c r="B5" s="1" t="s">
        <v>87</v>
      </c>
      <c r="C5" s="11"/>
      <c r="D5" s="1"/>
      <c r="E5" s="1"/>
      <c r="F5" s="1" t="s">
        <v>88</v>
      </c>
      <c r="G5" s="11"/>
      <c r="H5" s="1"/>
      <c r="I5" s="1"/>
      <c r="J5" s="1"/>
      <c r="K5" s="1"/>
      <c r="L5" s="1"/>
      <c r="M5" s="1"/>
      <c r="N5" s="1"/>
      <c r="O5" s="1"/>
    </row>
    <row r="6" customFormat="false" ht="21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21" hidden="false" customHeight="true" outlineLevel="0" collapsed="false">
      <c r="A7" s="1"/>
      <c r="B7" s="9" t="s">
        <v>36</v>
      </c>
      <c r="C7" s="9"/>
      <c r="D7" s="9"/>
      <c r="E7" s="9"/>
      <c r="F7" s="9" t="s">
        <v>37</v>
      </c>
      <c r="G7" s="9"/>
      <c r="H7" s="9"/>
      <c r="I7" s="9"/>
      <c r="J7" s="9" t="s">
        <v>38</v>
      </c>
      <c r="K7" s="9"/>
      <c r="L7" s="1"/>
      <c r="M7" s="1"/>
      <c r="N7" s="1"/>
      <c r="O7" s="1"/>
    </row>
    <row r="8" customFormat="false" ht="21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customFormat="false" ht="36" hidden="false" customHeight="true" outlineLevel="0" collapsed="false">
      <c r="A9" s="1"/>
      <c r="B9" s="4" t="s">
        <v>39</v>
      </c>
      <c r="C9" s="4" t="s">
        <v>40</v>
      </c>
      <c r="D9" s="4" t="s">
        <v>89</v>
      </c>
      <c r="E9" s="4" t="s">
        <v>90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47</v>
      </c>
      <c r="K9" s="4" t="s">
        <v>48</v>
      </c>
      <c r="L9" s="1"/>
      <c r="M9" s="4" t="s">
        <v>91</v>
      </c>
      <c r="N9" s="4" t="s">
        <v>92</v>
      </c>
      <c r="O9" s="4" t="s">
        <v>93</v>
      </c>
    </row>
    <row r="10" customFormat="false" ht="43" hidden="false" customHeight="true" outlineLevel="0" collapsed="false">
      <c r="A10" s="1"/>
      <c r="B10" s="13"/>
      <c r="C10" s="13"/>
      <c r="D10" s="18"/>
      <c r="E10" s="14"/>
      <c r="F10" s="15"/>
      <c r="G10" s="15"/>
      <c r="H10" s="13"/>
      <c r="I10" s="13"/>
      <c r="J10" s="13"/>
      <c r="K10" s="7" t="str">
        <f aca="false">IF(B10="","",IF(D10="","Definir horizonte",IF(E10="","Definir revisão",IF(AND(ISNUMBER($C$5),E10&lt;$C$5,F10&lt;&gt;"Concluído"),"Revisar item",""))))</f>
        <v/>
      </c>
      <c r="L10" s="1"/>
      <c r="M10" s="16" t="str">
        <f aca="false">IF($B10="","",IF($D10=M$9,1,""))</f>
        <v/>
      </c>
      <c r="N10" s="16" t="str">
        <f aca="false">IF($B10="","",IF($D10=N$9,1,""))</f>
        <v/>
      </c>
      <c r="O10" s="16" t="str">
        <f aca="false">IF($B10="","",IF($D10=O$9,1,""))</f>
        <v/>
      </c>
    </row>
    <row r="11" customFormat="false" ht="43" hidden="false" customHeight="true" outlineLevel="0" collapsed="false">
      <c r="A11" s="1"/>
      <c r="B11" s="13"/>
      <c r="C11" s="13"/>
      <c r="D11" s="18"/>
      <c r="E11" s="14"/>
      <c r="F11" s="15"/>
      <c r="G11" s="15"/>
      <c r="H11" s="13"/>
      <c r="I11" s="13"/>
      <c r="J11" s="13"/>
      <c r="K11" s="7" t="str">
        <f aca="false">IF(B11="","",IF(D11="","Definir horizonte",IF(E11="","Definir revisão",IF(AND(ISNUMBER($C$5),E11&lt;$C$5,F11&lt;&gt;"Concluído"),"Revisar item",""))))</f>
        <v/>
      </c>
      <c r="L11" s="1"/>
      <c r="M11" s="16" t="str">
        <f aca="false">IF($B11="","",IF($D11=M$9,1,""))</f>
        <v/>
      </c>
      <c r="N11" s="16" t="str">
        <f aca="false">IF($B11="","",IF($D11=N$9,1,""))</f>
        <v/>
      </c>
      <c r="O11" s="16" t="str">
        <f aca="false">IF($B11="","",IF($D11=O$9,1,""))</f>
        <v/>
      </c>
    </row>
    <row r="12" customFormat="false" ht="43" hidden="false" customHeight="true" outlineLevel="0" collapsed="false">
      <c r="A12" s="1"/>
      <c r="B12" s="13"/>
      <c r="C12" s="13"/>
      <c r="D12" s="18"/>
      <c r="E12" s="14"/>
      <c r="F12" s="15"/>
      <c r="G12" s="15"/>
      <c r="H12" s="13"/>
      <c r="I12" s="13"/>
      <c r="J12" s="13"/>
      <c r="K12" s="7" t="str">
        <f aca="false">IF(B12="","",IF(D12="","Definir horizonte",IF(E12="","Definir revisão",IF(AND(ISNUMBER($C$5),E12&lt;$C$5,F12&lt;&gt;"Concluído"),"Revisar item",""))))</f>
        <v/>
      </c>
      <c r="L12" s="1"/>
      <c r="M12" s="16" t="str">
        <f aca="false">IF($B12="","",IF($D12=M$9,1,""))</f>
        <v/>
      </c>
      <c r="N12" s="16" t="str">
        <f aca="false">IF($B12="","",IF($D12=N$9,1,""))</f>
        <v/>
      </c>
      <c r="O12" s="16" t="str">
        <f aca="false">IF($B12="","",IF($D12=O$9,1,""))</f>
        <v/>
      </c>
    </row>
    <row r="13" customFormat="false" ht="43" hidden="false" customHeight="true" outlineLevel="0" collapsed="false">
      <c r="A13" s="1"/>
      <c r="B13" s="13"/>
      <c r="C13" s="13"/>
      <c r="D13" s="18"/>
      <c r="E13" s="14"/>
      <c r="F13" s="15"/>
      <c r="G13" s="15"/>
      <c r="H13" s="13"/>
      <c r="I13" s="13"/>
      <c r="J13" s="13"/>
      <c r="K13" s="7" t="str">
        <f aca="false">IF(B13="","",IF(D13="","Definir horizonte",IF(E13="","Definir revisão",IF(AND(ISNUMBER($C$5),E13&lt;$C$5,F13&lt;&gt;"Concluído"),"Revisar item",""))))</f>
        <v/>
      </c>
      <c r="L13" s="1"/>
      <c r="M13" s="16" t="str">
        <f aca="false">IF($B13="","",IF($D13=M$9,1,""))</f>
        <v/>
      </c>
      <c r="N13" s="16" t="str">
        <f aca="false">IF($B13="","",IF($D13=N$9,1,""))</f>
        <v/>
      </c>
      <c r="O13" s="16" t="str">
        <f aca="false">IF($B13="","",IF($D13=O$9,1,""))</f>
        <v/>
      </c>
    </row>
    <row r="14" customFormat="false" ht="43" hidden="false" customHeight="true" outlineLevel="0" collapsed="false">
      <c r="A14" s="1"/>
      <c r="B14" s="13"/>
      <c r="C14" s="13"/>
      <c r="D14" s="18"/>
      <c r="E14" s="14"/>
      <c r="F14" s="15"/>
      <c r="G14" s="15"/>
      <c r="H14" s="13"/>
      <c r="I14" s="13"/>
      <c r="J14" s="13"/>
      <c r="K14" s="7" t="str">
        <f aca="false">IF(B14="","",IF(D14="","Definir horizonte",IF(E14="","Definir revisão",IF(AND(ISNUMBER($C$5),E14&lt;$C$5,F14&lt;&gt;"Concluído"),"Revisar item",""))))</f>
        <v/>
      </c>
      <c r="L14" s="1"/>
      <c r="M14" s="16" t="str">
        <f aca="false">IF($B14="","",IF($D14=M$9,1,""))</f>
        <v/>
      </c>
      <c r="N14" s="16" t="str">
        <f aca="false">IF($B14="","",IF($D14=N$9,1,""))</f>
        <v/>
      </c>
      <c r="O14" s="16" t="str">
        <f aca="false">IF($B14="","",IF($D14=O$9,1,""))</f>
        <v/>
      </c>
    </row>
    <row r="15" customFormat="false" ht="43" hidden="false" customHeight="true" outlineLevel="0" collapsed="false">
      <c r="A15" s="1"/>
      <c r="B15" s="13"/>
      <c r="C15" s="13"/>
      <c r="D15" s="18"/>
      <c r="E15" s="14"/>
      <c r="F15" s="15"/>
      <c r="G15" s="15"/>
      <c r="H15" s="13"/>
      <c r="I15" s="13"/>
      <c r="J15" s="13"/>
      <c r="K15" s="7" t="str">
        <f aca="false">IF(B15="","",IF(D15="","Definir horizonte",IF(E15="","Definir revisão",IF(AND(ISNUMBER($C$5),E15&lt;$C$5,F15&lt;&gt;"Concluído"),"Revisar item",""))))</f>
        <v/>
      </c>
      <c r="L15" s="1"/>
      <c r="M15" s="16" t="str">
        <f aca="false">IF($B15="","",IF($D15=M$9,1,""))</f>
        <v/>
      </c>
      <c r="N15" s="16" t="str">
        <f aca="false">IF($B15="","",IF($D15=N$9,1,""))</f>
        <v/>
      </c>
      <c r="O15" s="16" t="str">
        <f aca="false">IF($B15="","",IF($D15=O$9,1,""))</f>
        <v/>
      </c>
    </row>
    <row r="16" customFormat="false" ht="43" hidden="false" customHeight="true" outlineLevel="0" collapsed="false">
      <c r="A16" s="1"/>
      <c r="B16" s="13"/>
      <c r="C16" s="13"/>
      <c r="D16" s="18"/>
      <c r="E16" s="14"/>
      <c r="F16" s="15"/>
      <c r="G16" s="15"/>
      <c r="H16" s="13"/>
      <c r="I16" s="13"/>
      <c r="J16" s="13"/>
      <c r="K16" s="7" t="str">
        <f aca="false">IF(B16="","",IF(D16="","Definir horizonte",IF(E16="","Definir revisão",IF(AND(ISNUMBER($C$5),E16&lt;$C$5,F16&lt;&gt;"Concluído"),"Revisar item",""))))</f>
        <v/>
      </c>
      <c r="L16" s="1"/>
      <c r="M16" s="16" t="str">
        <f aca="false">IF($B16="","",IF($D16=M$9,1,""))</f>
        <v/>
      </c>
      <c r="N16" s="16" t="str">
        <f aca="false">IF($B16="","",IF($D16=N$9,1,""))</f>
        <v/>
      </c>
      <c r="O16" s="16" t="str">
        <f aca="false">IF($B16="","",IF($D16=O$9,1,""))</f>
        <v/>
      </c>
    </row>
    <row r="17" customFormat="false" ht="43" hidden="false" customHeight="true" outlineLevel="0" collapsed="false">
      <c r="A17" s="1"/>
      <c r="B17" s="13"/>
      <c r="C17" s="13"/>
      <c r="D17" s="18"/>
      <c r="E17" s="14"/>
      <c r="F17" s="15"/>
      <c r="G17" s="15"/>
      <c r="H17" s="13"/>
      <c r="I17" s="13"/>
      <c r="J17" s="13"/>
      <c r="K17" s="7" t="str">
        <f aca="false">IF(B17="","",IF(D17="","Definir horizonte",IF(E17="","Definir revisão",IF(AND(ISNUMBER($C$5),E17&lt;$C$5,F17&lt;&gt;"Concluído"),"Revisar item",""))))</f>
        <v/>
      </c>
      <c r="L17" s="1"/>
      <c r="M17" s="16" t="str">
        <f aca="false">IF($B17="","",IF($D17=M$9,1,""))</f>
        <v/>
      </c>
      <c r="N17" s="16" t="str">
        <f aca="false">IF($B17="","",IF($D17=N$9,1,""))</f>
        <v/>
      </c>
      <c r="O17" s="16" t="str">
        <f aca="false">IF($B17="","",IF($D17=O$9,1,""))</f>
        <v/>
      </c>
    </row>
    <row r="18" customFormat="false" ht="43" hidden="false" customHeight="true" outlineLevel="0" collapsed="false">
      <c r="A18" s="1"/>
      <c r="B18" s="13"/>
      <c r="C18" s="13"/>
      <c r="D18" s="18"/>
      <c r="E18" s="14"/>
      <c r="F18" s="15"/>
      <c r="G18" s="15"/>
      <c r="H18" s="13"/>
      <c r="I18" s="13"/>
      <c r="J18" s="13"/>
      <c r="K18" s="7" t="str">
        <f aca="false">IF(B18="","",IF(D18="","Definir horizonte",IF(E18="","Definir revisão",IF(AND(ISNUMBER($C$5),E18&lt;$C$5,F18&lt;&gt;"Concluído"),"Revisar item",""))))</f>
        <v/>
      </c>
      <c r="L18" s="1"/>
      <c r="M18" s="16" t="str">
        <f aca="false">IF($B18="","",IF($D18=M$9,1,""))</f>
        <v/>
      </c>
      <c r="N18" s="16" t="str">
        <f aca="false">IF($B18="","",IF($D18=N$9,1,""))</f>
        <v/>
      </c>
      <c r="O18" s="16" t="str">
        <f aca="false">IF($B18="","",IF($D18=O$9,1,""))</f>
        <v/>
      </c>
    </row>
    <row r="19" customFormat="false" ht="43" hidden="false" customHeight="true" outlineLevel="0" collapsed="false">
      <c r="A19" s="1"/>
      <c r="B19" s="13"/>
      <c r="C19" s="13"/>
      <c r="D19" s="18"/>
      <c r="E19" s="14"/>
      <c r="F19" s="15"/>
      <c r="G19" s="15"/>
      <c r="H19" s="13"/>
      <c r="I19" s="13"/>
      <c r="J19" s="13"/>
      <c r="K19" s="7" t="str">
        <f aca="false">IF(B19="","",IF(D19="","Definir horizonte",IF(E19="","Definir revisão",IF(AND(ISNUMBER($C$5),E19&lt;$C$5,F19&lt;&gt;"Concluído"),"Revisar item",""))))</f>
        <v/>
      </c>
      <c r="L19" s="1"/>
      <c r="M19" s="16" t="str">
        <f aca="false">IF($B19="","",IF($D19=M$9,1,""))</f>
        <v/>
      </c>
      <c r="N19" s="16" t="str">
        <f aca="false">IF($B19="","",IF($D19=N$9,1,""))</f>
        <v/>
      </c>
      <c r="O19" s="16" t="str">
        <f aca="false">IF($B19="","",IF($D19=O$9,1,""))</f>
        <v/>
      </c>
    </row>
    <row r="20" customFormat="false" ht="43" hidden="false" customHeight="true" outlineLevel="0" collapsed="false">
      <c r="A20" s="1"/>
      <c r="B20" s="13"/>
      <c r="C20" s="13"/>
      <c r="D20" s="18"/>
      <c r="E20" s="14"/>
      <c r="F20" s="15"/>
      <c r="G20" s="15"/>
      <c r="H20" s="13"/>
      <c r="I20" s="13"/>
      <c r="J20" s="13"/>
      <c r="K20" s="7" t="str">
        <f aca="false">IF(B20="","",IF(D20="","Definir horizonte",IF(E20="","Definir revisão",IF(AND(ISNUMBER($C$5),E20&lt;$C$5,F20&lt;&gt;"Concluído"),"Revisar item",""))))</f>
        <v/>
      </c>
      <c r="L20" s="1"/>
      <c r="M20" s="16" t="str">
        <f aca="false">IF($B20="","",IF($D20=M$9,1,""))</f>
        <v/>
      </c>
      <c r="N20" s="16" t="str">
        <f aca="false">IF($B20="","",IF($D20=N$9,1,""))</f>
        <v/>
      </c>
      <c r="O20" s="16" t="str">
        <f aca="false">IF($B20="","",IF($D20=O$9,1,""))</f>
        <v/>
      </c>
    </row>
    <row r="21" customFormat="false" ht="43" hidden="false" customHeight="true" outlineLevel="0" collapsed="false">
      <c r="A21" s="1"/>
      <c r="B21" s="13"/>
      <c r="C21" s="13"/>
      <c r="D21" s="18"/>
      <c r="E21" s="14"/>
      <c r="F21" s="15"/>
      <c r="G21" s="15"/>
      <c r="H21" s="13"/>
      <c r="I21" s="13"/>
      <c r="J21" s="13"/>
      <c r="K21" s="7" t="str">
        <f aca="false">IF(B21="","",IF(D21="","Definir horizonte",IF(E21="","Definir revisão",IF(AND(ISNUMBER($C$5),E21&lt;$C$5,F21&lt;&gt;"Concluído"),"Revisar item",""))))</f>
        <v/>
      </c>
      <c r="L21" s="1"/>
      <c r="M21" s="16" t="str">
        <f aca="false">IF($B21="","",IF($D21=M$9,1,""))</f>
        <v/>
      </c>
      <c r="N21" s="16" t="str">
        <f aca="false">IF($B21="","",IF($D21=N$9,1,""))</f>
        <v/>
      </c>
      <c r="O21" s="16" t="str">
        <f aca="false">IF($B21="","",IF($D21=O$9,1,""))</f>
        <v/>
      </c>
    </row>
    <row r="22" customFormat="false" ht="21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customFormat="false" ht="21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customFormat="false" ht="21" hidden="false" customHeight="true" outlineLevel="0" collapsed="false">
      <c r="A24" s="1"/>
      <c r="B24" s="17" t="s">
        <v>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customFormat="false" ht="21" hidden="false" customHeight="true" outlineLevel="0" collapsed="false">
      <c r="A25" s="1"/>
      <c r="B25" s="9" t="s">
        <v>94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customFormat="false" ht="21" hidden="false" customHeight="true" outlineLevel="0" collapsed="false">
      <c r="A26" s="1"/>
      <c r="B26" s="9" t="s">
        <v>95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customFormat="false" ht="21" hidden="false" customHeight="true" outlineLevel="0" collapsed="false">
      <c r="A27" s="1"/>
      <c r="B27" s="9" t="s">
        <v>96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customFormat="false" ht="21" hidden="false" customHeight="true" outlineLevel="0" collapsed="false">
      <c r="A28" s="1"/>
      <c r="B28" s="9" t="s">
        <v>97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customFormat="false" ht="21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</sheetData>
  <conditionalFormatting sqref="F10:F21">
    <cfRule type="expression" priority="2" aboveAverage="0" equalAverage="0" bottom="0" percent="0" rank="0" text="" dxfId="75">
      <formula>$F10="A fazer"</formula>
    </cfRule>
    <cfRule type="expression" priority="3" aboveAverage="0" equalAverage="0" bottom="0" percent="0" rank="0" text="" dxfId="76">
      <formula>$F10="Em andamento"</formula>
    </cfRule>
    <cfRule type="expression" priority="4" aboveAverage="0" equalAverage="0" bottom="0" percent="0" rank="0" text="" dxfId="77">
      <formula>$F10="Em validação"</formula>
    </cfRule>
    <cfRule type="expression" priority="5" aboveAverage="0" equalAverage="0" bottom="0" percent="0" rank="0" text="" dxfId="78">
      <formula>$F10="Concluído"</formula>
    </cfRule>
    <cfRule type="expression" priority="6" aboveAverage="0" equalAverage="0" bottom="0" percent="0" rank="0" text="" dxfId="79">
      <formula>$F10="Bloqueado"</formula>
    </cfRule>
    <cfRule type="expression" priority="7" aboveAverage="0" equalAverage="0" bottom="0" percent="0" rank="0" text="" dxfId="80">
      <formula>$F10="Pausado"</formula>
    </cfRule>
  </conditionalFormatting>
  <conditionalFormatting sqref="M10:O21">
    <cfRule type="expression" priority="8" aboveAverage="0" equalAverage="0" bottom="0" percent="0" rank="0" text="" dxfId="81">
      <formula>AND(M10=1,$F10="A fazer")</formula>
    </cfRule>
    <cfRule type="expression" priority="9" aboveAverage="0" equalAverage="0" bottom="0" percent="0" rank="0" text="" dxfId="82">
      <formula>AND(M10=1,$F10="Em andamento")</formula>
    </cfRule>
    <cfRule type="expression" priority="10" aboveAverage="0" equalAverage="0" bottom="0" percent="0" rank="0" text="" dxfId="83">
      <formula>AND(M10=1,$F10="Em validação")</formula>
    </cfRule>
    <cfRule type="expression" priority="11" aboveAverage="0" equalAverage="0" bottom="0" percent="0" rank="0" text="" dxfId="84">
      <formula>AND(M10=1,$F10="Concluído")</formula>
    </cfRule>
    <cfRule type="expression" priority="12" aboveAverage="0" equalAverage="0" bottom="0" percent="0" rank="0" text="" dxfId="85">
      <formula>AND(M10=1,$F10="Bloqueado")</formula>
    </cfRule>
    <cfRule type="expression" priority="13" aboveAverage="0" equalAverage="0" bottom="0" percent="0" rank="0" text="" dxfId="86">
      <formula>AND(M10=1,$F10="Pausado")</formula>
    </cfRule>
    <cfRule type="expression" priority="14" aboveAverage="0" equalAverage="0" bottom="0" percent="0" rank="0" text="" dxfId="87">
      <formula>AND(M10=1,$F10="")</formula>
    </cfRule>
  </conditionalFormatting>
  <conditionalFormatting sqref="K10:K21">
    <cfRule type="containsText" priority="15" operator="containsText" aboveAverage="0" equalAverage="0" bottom="0" percent="0" rank="0" text="Rever datas" dxfId="88">
      <formula>NOT(ISERROR(SEARCH("Rever datas",K10)))</formula>
    </cfRule>
    <cfRule type="containsText" priority="16" operator="containsText" aboveAverage="0" equalAverage="0" bottom="0" percent="0" rank="0" text="Revisar" dxfId="89">
      <formula>NOT(ISERROR(SEARCH("Revisar",K10)))</formula>
    </cfRule>
  </conditionalFormatting>
  <dataValidations count="3">
    <dataValidation allowBlank="false" error="Selecione um dos seis status disponíveis no menu." errorStyle="stop" errorTitle="Escolha um status" operator="between" showDropDown="false" showErrorMessage="true" showInputMessage="false" sqref="F10:F21" type="list">
      <formula1>"A fazer,Em andamento,Em validação,Concluído,Bloqueado,Pausado"</formula1>
      <formula2>0</formula2>
    </dataValidation>
    <dataValidation allowBlank="false" error="Selecione Alta, Média ou Baixa no menu." errorStyle="stop" errorTitle="Escolha uma prioridade" operator="between" showDropDown="false" showErrorMessage="true" showInputMessage="false" sqref="G10:G21" type="list">
      <formula1>"Alta,Média,Baixa"</formula1>
      <formula2>0</formula2>
    </dataValidation>
    <dataValidation allowBlank="false" error="Selecione Agora, Depois ou Futuro no menu." errorStyle="stop" errorTitle="Escolha um horizonte" operator="between" showDropDown="false" showErrorMessage="true" showInputMessage="false" sqref="D10:D21" type="list">
      <formula1>"Agora,Depois,Futuro"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EBBC0"/>
    <pageSetUpPr fitToPage="false"/>
  </sheetPr>
  <dimension ref="A1:P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7.22"/>
    <col collapsed="false" customWidth="true" hidden="false" outlineLevel="0" max="3" min="3" style="0" width="15"/>
    <col collapsed="false" customWidth="true" hidden="false" outlineLevel="0" max="5" min="4" style="0" width="11.78"/>
    <col collapsed="false" customWidth="true" hidden="false" outlineLevel="0" max="6" min="6" style="0" width="15"/>
    <col collapsed="false" customWidth="true" hidden="false" outlineLevel="0" max="7" min="7" style="0" width="11.78"/>
    <col collapsed="false" customWidth="true" hidden="false" outlineLevel="0" max="8" min="8" style="0" width="12.78"/>
    <col collapsed="false" customWidth="true" hidden="false" outlineLevel="0" max="9" min="9" style="0" width="26.11"/>
    <col collapsed="false" customWidth="true" hidden="false" outlineLevel="0" max="10" min="10" style="0" width="27.22"/>
    <col collapsed="false" customWidth="true" hidden="false" outlineLevel="0" max="11" min="11" style="0" width="18.34"/>
    <col collapsed="false" customWidth="true" hidden="false" outlineLevel="0" max="12" min="12" style="0" width="2"/>
    <col collapsed="false" customWidth="true" hidden="false" outlineLevel="0" max="16" min="13" style="0" width="17.78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" hidden="false" customHeight="true" outlineLevel="0" collapsed="false">
      <c r="A2" s="1"/>
      <c r="B2" s="2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21" hidden="false" customHeight="true" outlineLevel="0" collapsed="false">
      <c r="A3" s="1"/>
      <c r="B3" s="19" t="s">
        <v>98</v>
      </c>
      <c r="C3" s="1"/>
      <c r="D3" s="1"/>
      <c r="E3" s="1"/>
      <c r="F3" s="1"/>
      <c r="G3" s="1"/>
      <c r="H3" s="1"/>
      <c r="I3" s="9" t="s">
        <v>33</v>
      </c>
      <c r="J3" s="1"/>
      <c r="K3" s="1"/>
      <c r="L3" s="1"/>
      <c r="M3" s="1"/>
      <c r="N3" s="1"/>
      <c r="O3" s="1"/>
      <c r="P3" s="1"/>
    </row>
    <row r="4" customFormat="false" ht="2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1" hidden="false" customHeight="true" outlineLevel="0" collapsed="false">
      <c r="A5" s="1"/>
      <c r="B5" s="1" t="s">
        <v>34</v>
      </c>
      <c r="C5" s="11" t="n">
        <v>46388</v>
      </c>
      <c r="D5" s="1"/>
      <c r="E5" s="1"/>
      <c r="F5" s="1" t="s">
        <v>35</v>
      </c>
      <c r="G5" s="11" t="n">
        <v>46447</v>
      </c>
      <c r="H5" s="1"/>
      <c r="I5" s="1"/>
      <c r="J5" s="1"/>
      <c r="K5" s="1"/>
      <c r="L5" s="1"/>
      <c r="M5" s="1"/>
      <c r="N5" s="1"/>
      <c r="O5" s="1"/>
      <c r="P5" s="1"/>
    </row>
    <row r="6" customFormat="false" ht="21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customFormat="false" ht="21" hidden="false" customHeight="true" outlineLevel="0" collapsed="false">
      <c r="A7" s="1"/>
      <c r="B7" s="9" t="s">
        <v>36</v>
      </c>
      <c r="C7" s="9"/>
      <c r="D7" s="9"/>
      <c r="E7" s="9"/>
      <c r="F7" s="9" t="s">
        <v>37</v>
      </c>
      <c r="G7" s="9"/>
      <c r="H7" s="9"/>
      <c r="I7" s="9"/>
      <c r="J7" s="9" t="s">
        <v>99</v>
      </c>
      <c r="K7" s="9"/>
      <c r="L7" s="1"/>
      <c r="M7" s="1"/>
      <c r="N7" s="1"/>
      <c r="O7" s="1"/>
      <c r="P7" s="1"/>
    </row>
    <row r="8" customFormat="false" ht="21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2" t="n">
        <f aca="false">IF($C$5="","",EDATE($C$5,0))</f>
        <v>46388</v>
      </c>
      <c r="N8" s="12" t="n">
        <f aca="false">IF($C$5="","",EDATE($C$5,3))</f>
        <v>46478</v>
      </c>
      <c r="O8" s="12" t="n">
        <f aca="false">IF($C$5="","",EDATE($C$5,6))</f>
        <v>46569</v>
      </c>
      <c r="P8" s="12" t="n">
        <f aca="false">IF($C$5="","",EDATE($C$5,9))</f>
        <v>46661</v>
      </c>
    </row>
    <row r="9" customFormat="false" ht="36" hidden="false" customHeight="true" outlineLevel="0" collapsed="false">
      <c r="A9" s="1"/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47</v>
      </c>
      <c r="K9" s="4" t="s">
        <v>48</v>
      </c>
      <c r="L9" s="1"/>
      <c r="M9" s="4" t="s">
        <v>49</v>
      </c>
      <c r="N9" s="4" t="s">
        <v>50</v>
      </c>
      <c r="O9" s="4" t="s">
        <v>51</v>
      </c>
      <c r="P9" s="4" t="s">
        <v>52</v>
      </c>
    </row>
    <row r="10" customFormat="false" ht="43" hidden="false" customHeight="true" outlineLevel="0" collapsed="false">
      <c r="A10" s="1"/>
      <c r="B10" s="13" t="s">
        <v>100</v>
      </c>
      <c r="C10" s="13" t="s">
        <v>101</v>
      </c>
      <c r="D10" s="14" t="n">
        <v>46388</v>
      </c>
      <c r="E10" s="14" t="n">
        <v>46446</v>
      </c>
      <c r="F10" s="15" t="s">
        <v>102</v>
      </c>
      <c r="G10" s="15" t="s">
        <v>103</v>
      </c>
      <c r="H10" s="13"/>
      <c r="I10" s="13" t="s">
        <v>104</v>
      </c>
      <c r="J10" s="13" t="s">
        <v>105</v>
      </c>
      <c r="K10" s="7" t="str">
        <f aca="false">IF(B10="","",IF(OR(D10="",E10=""),"Completar datas",IF(E10&lt;D10,"Rever datas",IF(AND(ISNUMBER($G$5),E10&lt;$G$5,F10&lt;&gt;"Concluído"),"Revisar prazo",""))))</f>
        <v/>
      </c>
      <c r="L10" s="1"/>
      <c r="M10" s="16" t="n">
        <f aca="false">IF(OR($B10="",$D10="",$E10="",M$8=""),"",IF(AND($E10&gt;=$D10,$D10&lt;=EDATE(M$8,3)-1,$E10&gt;=M$8),1,""))</f>
        <v>1</v>
      </c>
      <c r="N10" s="16" t="str">
        <f aca="false">IF(OR($B10="",$D10="",$E10="",N$8=""),"",IF(AND($E10&gt;=$D10,$D10&lt;=EDATE(N$8,3)-1,$E10&gt;=N$8),1,""))</f>
        <v/>
      </c>
      <c r="O10" s="16" t="str">
        <f aca="false">IF(OR($B10="",$D10="",$E10="",O$8=""),"",IF(AND($E10&gt;=$D10,$D10&lt;=EDATE(O$8,3)-1,$E10&gt;=O$8),1,""))</f>
        <v/>
      </c>
      <c r="P10" s="16" t="str">
        <f aca="false">IF(OR($B10="",$D10="",$E10="",P$8=""),"",IF(AND($E10&gt;=$D10,$D10&lt;=EDATE(P$8,3)-1,$E10&gt;=P$8),1,""))</f>
        <v/>
      </c>
    </row>
    <row r="11" customFormat="false" ht="43" hidden="false" customHeight="true" outlineLevel="0" collapsed="false">
      <c r="A11" s="1"/>
      <c r="B11" s="13" t="s">
        <v>106</v>
      </c>
      <c r="C11" s="13" t="s">
        <v>107</v>
      </c>
      <c r="D11" s="14" t="n">
        <v>46419</v>
      </c>
      <c r="E11" s="14" t="n">
        <v>46538</v>
      </c>
      <c r="F11" s="15" t="s">
        <v>108</v>
      </c>
      <c r="G11" s="15" t="s">
        <v>103</v>
      </c>
      <c r="H11" s="13" t="s">
        <v>109</v>
      </c>
      <c r="I11" s="13" t="s">
        <v>110</v>
      </c>
      <c r="J11" s="13" t="s">
        <v>111</v>
      </c>
      <c r="K11" s="7" t="str">
        <f aca="false">IF(B11="","",IF(OR(D11="",E11=""),"Completar datas",IF(E11&lt;D11,"Rever datas",IF(AND(ISNUMBER($G$5),E11&lt;$G$5,F11&lt;&gt;"Concluído"),"Revisar prazo",""))))</f>
        <v/>
      </c>
      <c r="L11" s="1"/>
      <c r="M11" s="16" t="n">
        <f aca="false">IF(OR($B11="",$D11="",$E11="",M$8=""),"",IF(AND($E11&gt;=$D11,$D11&lt;=EDATE(M$8,3)-1,$E11&gt;=M$8),1,""))</f>
        <v>1</v>
      </c>
      <c r="N11" s="16" t="n">
        <f aca="false">IF(OR($B11="",$D11="",$E11="",N$8=""),"",IF(AND($E11&gt;=$D11,$D11&lt;=EDATE(N$8,3)-1,$E11&gt;=N$8),1,""))</f>
        <v>1</v>
      </c>
      <c r="O11" s="16" t="str">
        <f aca="false">IF(OR($B11="",$D11="",$E11="",O$8=""),"",IF(AND($E11&gt;=$D11,$D11&lt;=EDATE(O$8,3)-1,$E11&gt;=O$8),1,""))</f>
        <v/>
      </c>
      <c r="P11" s="16" t="str">
        <f aca="false">IF(OR($B11="",$D11="",$E11="",P$8=""),"",IF(AND($E11&gt;=$D11,$D11&lt;=EDATE(P$8,3)-1,$E11&gt;=P$8),1,""))</f>
        <v/>
      </c>
    </row>
    <row r="12" customFormat="false" ht="43" hidden="false" customHeight="true" outlineLevel="0" collapsed="false">
      <c r="A12" s="1"/>
      <c r="B12" s="13" t="s">
        <v>112</v>
      </c>
      <c r="C12" s="13" t="s">
        <v>113</v>
      </c>
      <c r="D12" s="14" t="n">
        <v>46478</v>
      </c>
      <c r="E12" s="14" t="n">
        <v>46660</v>
      </c>
      <c r="F12" s="15" t="s">
        <v>114</v>
      </c>
      <c r="G12" s="15" t="s">
        <v>103</v>
      </c>
      <c r="H12" s="13" t="s">
        <v>115</v>
      </c>
      <c r="I12" s="13" t="s">
        <v>116</v>
      </c>
      <c r="J12" s="13" t="s">
        <v>117</v>
      </c>
      <c r="K12" s="7" t="str">
        <f aca="false">IF(B12="","",IF(OR(D12="",E12=""),"Completar datas",IF(E12&lt;D12,"Rever datas",IF(AND(ISNUMBER($G$5),E12&lt;$G$5,F12&lt;&gt;"Concluído"),"Revisar prazo",""))))</f>
        <v/>
      </c>
      <c r="L12" s="1"/>
      <c r="M12" s="16" t="str">
        <f aca="false">IF(OR($B12="",$D12="",$E12="",M$8=""),"",IF(AND($E12&gt;=$D12,$D12&lt;=EDATE(M$8,3)-1,$E12&gt;=M$8),1,""))</f>
        <v/>
      </c>
      <c r="N12" s="16" t="n">
        <f aca="false">IF(OR($B12="",$D12="",$E12="",N$8=""),"",IF(AND($E12&gt;=$D12,$D12&lt;=EDATE(N$8,3)-1,$E12&gt;=N$8),1,""))</f>
        <v>1</v>
      </c>
      <c r="O12" s="16" t="n">
        <f aca="false">IF(OR($B12="",$D12="",$E12="",O$8=""),"",IF(AND($E12&gt;=$D12,$D12&lt;=EDATE(O$8,3)-1,$E12&gt;=O$8),1,""))</f>
        <v>1</v>
      </c>
      <c r="P12" s="16" t="str">
        <f aca="false">IF(OR($B12="",$D12="",$E12="",P$8=""),"",IF(AND($E12&gt;=$D12,$D12&lt;=EDATE(P$8,3)-1,$E12&gt;=P$8),1,""))</f>
        <v/>
      </c>
    </row>
    <row r="13" customFormat="false" ht="43" hidden="false" customHeight="true" outlineLevel="0" collapsed="false">
      <c r="A13" s="1"/>
      <c r="B13" s="13" t="s">
        <v>118</v>
      </c>
      <c r="C13" s="13" t="s">
        <v>119</v>
      </c>
      <c r="D13" s="14" t="n">
        <v>46569</v>
      </c>
      <c r="E13" s="14" t="n">
        <v>46752</v>
      </c>
      <c r="F13" s="15" t="s">
        <v>114</v>
      </c>
      <c r="G13" s="15" t="s">
        <v>120</v>
      </c>
      <c r="H13" s="13" t="s">
        <v>115</v>
      </c>
      <c r="I13" s="13" t="s">
        <v>121</v>
      </c>
      <c r="J13" s="13" t="s">
        <v>122</v>
      </c>
      <c r="K13" s="7" t="str">
        <f aca="false">IF(B13="","",IF(OR(D13="",E13=""),"Completar datas",IF(E13&lt;D13,"Rever datas",IF(AND(ISNUMBER($G$5),E13&lt;$G$5,F13&lt;&gt;"Concluído"),"Revisar prazo",""))))</f>
        <v/>
      </c>
      <c r="L13" s="1"/>
      <c r="M13" s="16" t="str">
        <f aca="false">IF(OR($B13="",$D13="",$E13="",M$8=""),"",IF(AND($E13&gt;=$D13,$D13&lt;=EDATE(M$8,3)-1,$E13&gt;=M$8),1,""))</f>
        <v/>
      </c>
      <c r="N13" s="16" t="str">
        <f aca="false">IF(OR($B13="",$D13="",$E13="",N$8=""),"",IF(AND($E13&gt;=$D13,$D13&lt;=EDATE(N$8,3)-1,$E13&gt;=N$8),1,""))</f>
        <v/>
      </c>
      <c r="O13" s="16" t="n">
        <f aca="false">IF(OR($B13="",$D13="",$E13="",O$8=""),"",IF(AND($E13&gt;=$D13,$D13&lt;=EDATE(O$8,3)-1,$E13&gt;=O$8),1,""))</f>
        <v>1</v>
      </c>
      <c r="P13" s="16" t="n">
        <f aca="false">IF(OR($B13="",$D13="",$E13="",P$8=""),"",IF(AND($E13&gt;=$D13,$D13&lt;=EDATE(P$8,3)-1,$E13&gt;=P$8),1,""))</f>
        <v>1</v>
      </c>
    </row>
    <row r="14" customFormat="false" ht="43" hidden="false" customHeight="true" outlineLevel="0" collapsed="false">
      <c r="A14" s="1"/>
      <c r="B14" s="13" t="s">
        <v>123</v>
      </c>
      <c r="C14" s="13" t="s">
        <v>124</v>
      </c>
      <c r="D14" s="14" t="n">
        <v>46661</v>
      </c>
      <c r="E14" s="14" t="n">
        <v>46752</v>
      </c>
      <c r="F14" s="15" t="s">
        <v>114</v>
      </c>
      <c r="G14" s="15" t="s">
        <v>120</v>
      </c>
      <c r="H14" s="13" t="s">
        <v>125</v>
      </c>
      <c r="I14" s="13" t="s">
        <v>126</v>
      </c>
      <c r="J14" s="13" t="s">
        <v>127</v>
      </c>
      <c r="K14" s="7" t="str">
        <f aca="false">IF(B14="","",IF(OR(D14="",E14=""),"Completar datas",IF(E14&lt;D14,"Rever datas",IF(AND(ISNUMBER($G$5),E14&lt;$G$5,F14&lt;&gt;"Concluído"),"Revisar prazo",""))))</f>
        <v/>
      </c>
      <c r="L14" s="1"/>
      <c r="M14" s="16" t="str">
        <f aca="false">IF(OR($B14="",$D14="",$E14="",M$8=""),"",IF(AND($E14&gt;=$D14,$D14&lt;=EDATE(M$8,3)-1,$E14&gt;=M$8),1,""))</f>
        <v/>
      </c>
      <c r="N14" s="16" t="str">
        <f aca="false">IF(OR($B14="",$D14="",$E14="",N$8=""),"",IF(AND($E14&gt;=$D14,$D14&lt;=EDATE(N$8,3)-1,$E14&gt;=N$8),1,""))</f>
        <v/>
      </c>
      <c r="O14" s="16" t="str">
        <f aca="false">IF(OR($B14="",$D14="",$E14="",O$8=""),"",IF(AND($E14&gt;=$D14,$D14&lt;=EDATE(O$8,3)-1,$E14&gt;=O$8),1,""))</f>
        <v/>
      </c>
      <c r="P14" s="16" t="n">
        <f aca="false">IF(OR($B14="",$D14="",$E14="",P$8=""),"",IF(AND($E14&gt;=$D14,$D14&lt;=EDATE(P$8,3)-1,$E14&gt;=P$8),1,""))</f>
        <v>1</v>
      </c>
    </row>
    <row r="15" customFormat="false" ht="43" hidden="false" customHeight="true" outlineLevel="0" collapsed="false">
      <c r="A15" s="1"/>
      <c r="B15" s="13"/>
      <c r="C15" s="13"/>
      <c r="D15" s="14"/>
      <c r="E15" s="14"/>
      <c r="F15" s="15"/>
      <c r="G15" s="15"/>
      <c r="H15" s="13"/>
      <c r="I15" s="13"/>
      <c r="J15" s="13"/>
      <c r="K15" s="7" t="str">
        <f aca="false">IF(B15="","",IF(OR(D15="",E15=""),"Completar datas",IF(E15&lt;D15,"Rever datas",IF(AND(ISNUMBER($G$5),E15&lt;$G$5,F15&lt;&gt;"Concluído"),"Revisar prazo",""))))</f>
        <v/>
      </c>
      <c r="L15" s="1"/>
      <c r="M15" s="16" t="str">
        <f aca="false">IF(OR($B15="",$D15="",$E15="",M$8=""),"",IF(AND($E15&gt;=$D15,$D15&lt;=EDATE(M$8,3)-1,$E15&gt;=M$8),1,""))</f>
        <v/>
      </c>
      <c r="N15" s="16" t="str">
        <f aca="false">IF(OR($B15="",$D15="",$E15="",N$8=""),"",IF(AND($E15&gt;=$D15,$D15&lt;=EDATE(N$8,3)-1,$E15&gt;=N$8),1,""))</f>
        <v/>
      </c>
      <c r="O15" s="16" t="str">
        <f aca="false">IF(OR($B15="",$D15="",$E15="",O$8=""),"",IF(AND($E15&gt;=$D15,$D15&lt;=EDATE(O$8,3)-1,$E15&gt;=O$8),1,""))</f>
        <v/>
      </c>
      <c r="P15" s="16" t="str">
        <f aca="false">IF(OR($B15="",$D15="",$E15="",P$8=""),"",IF(AND($E15&gt;=$D15,$D15&lt;=EDATE(P$8,3)-1,$E15&gt;=P$8),1,""))</f>
        <v/>
      </c>
    </row>
    <row r="16" customFormat="false" ht="43" hidden="false" customHeight="true" outlineLevel="0" collapsed="false">
      <c r="A16" s="1"/>
      <c r="B16" s="13"/>
      <c r="C16" s="13"/>
      <c r="D16" s="14"/>
      <c r="E16" s="14"/>
      <c r="F16" s="15"/>
      <c r="G16" s="15"/>
      <c r="H16" s="13"/>
      <c r="I16" s="13"/>
      <c r="J16" s="13"/>
      <c r="K16" s="7" t="str">
        <f aca="false">IF(B16="","",IF(OR(D16="",E16=""),"Completar datas",IF(E16&lt;D16,"Rever datas",IF(AND(ISNUMBER($G$5),E16&lt;$G$5,F16&lt;&gt;"Concluído"),"Revisar prazo",""))))</f>
        <v/>
      </c>
      <c r="L16" s="1"/>
      <c r="M16" s="16" t="str">
        <f aca="false">IF(OR($B16="",$D16="",$E16="",M$8=""),"",IF(AND($E16&gt;=$D16,$D16&lt;=EDATE(M$8,3)-1,$E16&gt;=M$8),1,""))</f>
        <v/>
      </c>
      <c r="N16" s="16" t="str">
        <f aca="false">IF(OR($B16="",$D16="",$E16="",N$8=""),"",IF(AND($E16&gt;=$D16,$D16&lt;=EDATE(N$8,3)-1,$E16&gt;=N$8),1,""))</f>
        <v/>
      </c>
      <c r="O16" s="16" t="str">
        <f aca="false">IF(OR($B16="",$D16="",$E16="",O$8=""),"",IF(AND($E16&gt;=$D16,$D16&lt;=EDATE(O$8,3)-1,$E16&gt;=O$8),1,""))</f>
        <v/>
      </c>
      <c r="P16" s="16" t="str">
        <f aca="false">IF(OR($B16="",$D16="",$E16="",P$8=""),"",IF(AND($E16&gt;=$D16,$D16&lt;=EDATE(P$8,3)-1,$E16&gt;=P$8),1,""))</f>
        <v/>
      </c>
    </row>
    <row r="17" customFormat="false" ht="43" hidden="false" customHeight="true" outlineLevel="0" collapsed="false">
      <c r="A17" s="1"/>
      <c r="B17" s="13"/>
      <c r="C17" s="13"/>
      <c r="D17" s="14"/>
      <c r="E17" s="14"/>
      <c r="F17" s="15"/>
      <c r="G17" s="15"/>
      <c r="H17" s="13"/>
      <c r="I17" s="13"/>
      <c r="J17" s="13"/>
      <c r="K17" s="7" t="str">
        <f aca="false">IF(B17="","",IF(OR(D17="",E17=""),"Completar datas",IF(E17&lt;D17,"Rever datas",IF(AND(ISNUMBER($G$5),E17&lt;$G$5,F17&lt;&gt;"Concluído"),"Revisar prazo",""))))</f>
        <v/>
      </c>
      <c r="L17" s="1"/>
      <c r="M17" s="16" t="str">
        <f aca="false">IF(OR($B17="",$D17="",$E17="",M$8=""),"",IF(AND($E17&gt;=$D17,$D17&lt;=EDATE(M$8,3)-1,$E17&gt;=M$8),1,""))</f>
        <v/>
      </c>
      <c r="N17" s="16" t="str">
        <f aca="false">IF(OR($B17="",$D17="",$E17="",N$8=""),"",IF(AND($E17&gt;=$D17,$D17&lt;=EDATE(N$8,3)-1,$E17&gt;=N$8),1,""))</f>
        <v/>
      </c>
      <c r="O17" s="16" t="str">
        <f aca="false">IF(OR($B17="",$D17="",$E17="",O$8=""),"",IF(AND($E17&gt;=$D17,$D17&lt;=EDATE(O$8,3)-1,$E17&gt;=O$8),1,""))</f>
        <v/>
      </c>
      <c r="P17" s="16" t="str">
        <f aca="false">IF(OR($B17="",$D17="",$E17="",P$8=""),"",IF(AND($E17&gt;=$D17,$D17&lt;=EDATE(P$8,3)-1,$E17&gt;=P$8),1,""))</f>
        <v/>
      </c>
    </row>
    <row r="18" customFormat="false" ht="43" hidden="false" customHeight="true" outlineLevel="0" collapsed="false">
      <c r="A18" s="1"/>
      <c r="B18" s="13"/>
      <c r="C18" s="13"/>
      <c r="D18" s="14"/>
      <c r="E18" s="14"/>
      <c r="F18" s="15"/>
      <c r="G18" s="15"/>
      <c r="H18" s="13"/>
      <c r="I18" s="13"/>
      <c r="J18" s="13"/>
      <c r="K18" s="7" t="str">
        <f aca="false">IF(B18="","",IF(OR(D18="",E18=""),"Completar datas",IF(E18&lt;D18,"Rever datas",IF(AND(ISNUMBER($G$5),E18&lt;$G$5,F18&lt;&gt;"Concluído"),"Revisar prazo",""))))</f>
        <v/>
      </c>
      <c r="L18" s="1"/>
      <c r="M18" s="16" t="str">
        <f aca="false">IF(OR($B18="",$D18="",$E18="",M$8=""),"",IF(AND($E18&gt;=$D18,$D18&lt;=EDATE(M$8,3)-1,$E18&gt;=M$8),1,""))</f>
        <v/>
      </c>
      <c r="N18" s="16" t="str">
        <f aca="false">IF(OR($B18="",$D18="",$E18="",N$8=""),"",IF(AND($E18&gt;=$D18,$D18&lt;=EDATE(N$8,3)-1,$E18&gt;=N$8),1,""))</f>
        <v/>
      </c>
      <c r="O18" s="16" t="str">
        <f aca="false">IF(OR($B18="",$D18="",$E18="",O$8=""),"",IF(AND($E18&gt;=$D18,$D18&lt;=EDATE(O$8,3)-1,$E18&gt;=O$8),1,""))</f>
        <v/>
      </c>
      <c r="P18" s="16" t="str">
        <f aca="false">IF(OR($B18="",$D18="",$E18="",P$8=""),"",IF(AND($E18&gt;=$D18,$D18&lt;=EDATE(P$8,3)-1,$E18&gt;=P$8),1,""))</f>
        <v/>
      </c>
    </row>
    <row r="19" customFormat="false" ht="43" hidden="false" customHeight="true" outlineLevel="0" collapsed="false">
      <c r="A19" s="1"/>
      <c r="B19" s="13"/>
      <c r="C19" s="13"/>
      <c r="D19" s="14"/>
      <c r="E19" s="14"/>
      <c r="F19" s="15"/>
      <c r="G19" s="15"/>
      <c r="H19" s="13"/>
      <c r="I19" s="13"/>
      <c r="J19" s="13"/>
      <c r="K19" s="7" t="str">
        <f aca="false">IF(B19="","",IF(OR(D19="",E19=""),"Completar datas",IF(E19&lt;D19,"Rever datas",IF(AND(ISNUMBER($G$5),E19&lt;$G$5,F19&lt;&gt;"Concluído"),"Revisar prazo",""))))</f>
        <v/>
      </c>
      <c r="L19" s="1"/>
      <c r="M19" s="16" t="str">
        <f aca="false">IF(OR($B19="",$D19="",$E19="",M$8=""),"",IF(AND($E19&gt;=$D19,$D19&lt;=EDATE(M$8,3)-1,$E19&gt;=M$8),1,""))</f>
        <v/>
      </c>
      <c r="N19" s="16" t="str">
        <f aca="false">IF(OR($B19="",$D19="",$E19="",N$8=""),"",IF(AND($E19&gt;=$D19,$D19&lt;=EDATE(N$8,3)-1,$E19&gt;=N$8),1,""))</f>
        <v/>
      </c>
      <c r="O19" s="16" t="str">
        <f aca="false">IF(OR($B19="",$D19="",$E19="",O$8=""),"",IF(AND($E19&gt;=$D19,$D19&lt;=EDATE(O$8,3)-1,$E19&gt;=O$8),1,""))</f>
        <v/>
      </c>
      <c r="P19" s="16" t="str">
        <f aca="false">IF(OR($B19="",$D19="",$E19="",P$8=""),"",IF(AND($E19&gt;=$D19,$D19&lt;=EDATE(P$8,3)-1,$E19&gt;=P$8),1,""))</f>
        <v/>
      </c>
    </row>
    <row r="20" customFormat="false" ht="43" hidden="false" customHeight="true" outlineLevel="0" collapsed="false">
      <c r="A20" s="1"/>
      <c r="B20" s="13"/>
      <c r="C20" s="13"/>
      <c r="D20" s="14"/>
      <c r="E20" s="14"/>
      <c r="F20" s="15"/>
      <c r="G20" s="15"/>
      <c r="H20" s="13"/>
      <c r="I20" s="13"/>
      <c r="J20" s="13"/>
      <c r="K20" s="7" t="str">
        <f aca="false">IF(B20="","",IF(OR(D20="",E20=""),"Completar datas",IF(E20&lt;D20,"Rever datas",IF(AND(ISNUMBER($G$5),E20&lt;$G$5,F20&lt;&gt;"Concluído"),"Revisar prazo",""))))</f>
        <v/>
      </c>
      <c r="L20" s="1"/>
      <c r="M20" s="16" t="str">
        <f aca="false">IF(OR($B20="",$D20="",$E20="",M$8=""),"",IF(AND($E20&gt;=$D20,$D20&lt;=EDATE(M$8,3)-1,$E20&gt;=M$8),1,""))</f>
        <v/>
      </c>
      <c r="N20" s="16" t="str">
        <f aca="false">IF(OR($B20="",$D20="",$E20="",N$8=""),"",IF(AND($E20&gt;=$D20,$D20&lt;=EDATE(N$8,3)-1,$E20&gt;=N$8),1,""))</f>
        <v/>
      </c>
      <c r="O20" s="16" t="str">
        <f aca="false">IF(OR($B20="",$D20="",$E20="",O$8=""),"",IF(AND($E20&gt;=$D20,$D20&lt;=EDATE(O$8,3)-1,$E20&gt;=O$8),1,""))</f>
        <v/>
      </c>
      <c r="P20" s="16" t="str">
        <f aca="false">IF(OR($B20="",$D20="",$E20="",P$8=""),"",IF(AND($E20&gt;=$D20,$D20&lt;=EDATE(P$8,3)-1,$E20&gt;=P$8),1,""))</f>
        <v/>
      </c>
    </row>
    <row r="21" customFormat="false" ht="43" hidden="false" customHeight="true" outlineLevel="0" collapsed="false">
      <c r="A21" s="1"/>
      <c r="B21" s="13"/>
      <c r="C21" s="13"/>
      <c r="D21" s="14"/>
      <c r="E21" s="14"/>
      <c r="F21" s="15"/>
      <c r="G21" s="15"/>
      <c r="H21" s="13"/>
      <c r="I21" s="13"/>
      <c r="J21" s="13"/>
      <c r="K21" s="7" t="str">
        <f aca="false">IF(B21="","",IF(OR(D21="",E21=""),"Completar datas",IF(E21&lt;D21,"Rever datas",IF(AND(ISNUMBER($G$5),E21&lt;$G$5,F21&lt;&gt;"Concluído"),"Revisar prazo",""))))</f>
        <v/>
      </c>
      <c r="L21" s="1"/>
      <c r="M21" s="16" t="str">
        <f aca="false">IF(OR($B21="",$D21="",$E21="",M$8=""),"",IF(AND($E21&gt;=$D21,$D21&lt;=EDATE(M$8,3)-1,$E21&gt;=M$8),1,""))</f>
        <v/>
      </c>
      <c r="N21" s="16" t="str">
        <f aca="false">IF(OR($B21="",$D21="",$E21="",N$8=""),"",IF(AND($E21&gt;=$D21,$D21&lt;=EDATE(N$8,3)-1,$E21&gt;=N$8),1,""))</f>
        <v/>
      </c>
      <c r="O21" s="16" t="str">
        <f aca="false">IF(OR($B21="",$D21="",$E21="",O$8=""),"",IF(AND($E21&gt;=$D21,$D21&lt;=EDATE(O$8,3)-1,$E21&gt;=O$8),1,""))</f>
        <v/>
      </c>
      <c r="P21" s="16" t="str">
        <f aca="false">IF(OR($B21="",$D21="",$E21="",P$8=""),"",IF(AND($E21&gt;=$D21,$D21&lt;=EDATE(P$8,3)-1,$E21&gt;=P$8),1,""))</f>
        <v/>
      </c>
    </row>
    <row r="22" customFormat="false" ht="21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21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21" hidden="false" customHeight="true" outlineLevel="0" collapsed="false">
      <c r="A24" s="1"/>
      <c r="B24" s="17" t="s">
        <v>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21" hidden="false" customHeight="true" outlineLevel="0" collapsed="false">
      <c r="A25" s="1"/>
      <c r="B25" s="9" t="s">
        <v>54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21" hidden="false" customHeight="true" outlineLevel="0" collapsed="false">
      <c r="A26" s="1"/>
      <c r="B26" s="9" t="s">
        <v>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21" hidden="false" customHeight="true" outlineLevel="0" collapsed="false">
      <c r="A27" s="1"/>
      <c r="B27" s="9" t="s">
        <v>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21" hidden="false" customHeight="true" outlineLevel="0" collapsed="false">
      <c r="A28" s="1"/>
      <c r="B28" s="9" t="s">
        <v>57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21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</sheetData>
  <conditionalFormatting sqref="F10:F21">
    <cfRule type="expression" priority="2" aboveAverage="0" equalAverage="0" bottom="0" percent="0" rank="0" text="" dxfId="90">
      <formula>$F10="A fazer"</formula>
    </cfRule>
    <cfRule type="expression" priority="3" aboveAverage="0" equalAverage="0" bottom="0" percent="0" rank="0" text="" dxfId="91">
      <formula>$F10="Em andamento"</formula>
    </cfRule>
    <cfRule type="expression" priority="4" aboveAverage="0" equalAverage="0" bottom="0" percent="0" rank="0" text="" dxfId="92">
      <formula>$F10="Em validação"</formula>
    </cfRule>
    <cfRule type="expression" priority="5" aboveAverage="0" equalAverage="0" bottom="0" percent="0" rank="0" text="" dxfId="93">
      <formula>$F10="Concluído"</formula>
    </cfRule>
    <cfRule type="expression" priority="6" aboveAverage="0" equalAverage="0" bottom="0" percent="0" rank="0" text="" dxfId="94">
      <formula>$F10="Bloqueado"</formula>
    </cfRule>
    <cfRule type="expression" priority="7" aboveAverage="0" equalAverage="0" bottom="0" percent="0" rank="0" text="" dxfId="95">
      <formula>$F10="Pausado"</formula>
    </cfRule>
  </conditionalFormatting>
  <conditionalFormatting sqref="M10:P21">
    <cfRule type="expression" priority="8" aboveAverage="0" equalAverage="0" bottom="0" percent="0" rank="0" text="" dxfId="96">
      <formula>AND(M10=1,$F10="A fazer")</formula>
    </cfRule>
    <cfRule type="expression" priority="9" aboveAverage="0" equalAverage="0" bottom="0" percent="0" rank="0" text="" dxfId="97">
      <formula>AND(M10=1,$F10="Em andamento")</formula>
    </cfRule>
    <cfRule type="expression" priority="10" aboveAverage="0" equalAverage="0" bottom="0" percent="0" rank="0" text="" dxfId="98">
      <formula>AND(M10=1,$F10="Em validação")</formula>
    </cfRule>
    <cfRule type="expression" priority="11" aboveAverage="0" equalAverage="0" bottom="0" percent="0" rank="0" text="" dxfId="99">
      <formula>AND(M10=1,$F10="Concluído")</formula>
    </cfRule>
    <cfRule type="expression" priority="12" aboveAverage="0" equalAverage="0" bottom="0" percent="0" rank="0" text="" dxfId="100">
      <formula>AND(M10=1,$F10="Bloqueado")</formula>
    </cfRule>
    <cfRule type="expression" priority="13" aboveAverage="0" equalAverage="0" bottom="0" percent="0" rank="0" text="" dxfId="101">
      <formula>AND(M10=1,$F10="Pausado")</formula>
    </cfRule>
    <cfRule type="expression" priority="14" aboveAverage="0" equalAverage="0" bottom="0" percent="0" rank="0" text="" dxfId="102">
      <formula>AND(M10=1,$F10="")</formula>
    </cfRule>
  </conditionalFormatting>
  <conditionalFormatting sqref="K10:K21">
    <cfRule type="containsText" priority="15" operator="containsText" aboveAverage="0" equalAverage="0" bottom="0" percent="0" rank="0" text="Rever datas" dxfId="103">
      <formula>NOT(ISERROR(SEARCH("Rever datas",K10)))</formula>
    </cfRule>
    <cfRule type="containsText" priority="16" operator="containsText" aboveAverage="0" equalAverage="0" bottom="0" percent="0" rank="0" text="Revisar" dxfId="104">
      <formula>NOT(ISERROR(SEARCH("Revisar",K10)))</formula>
    </cfRule>
  </conditionalFormatting>
  <dataValidations count="2">
    <dataValidation allowBlank="false" error="Selecione um dos seis status disponíveis no menu." errorStyle="stop" errorTitle="Escolha um status" operator="between" showDropDown="false" showErrorMessage="true" showInputMessage="false" sqref="F10:F21" type="list">
      <formula1>"A fazer,Em andamento,Em validação,Concluído,Bloqueado,Pausado"</formula1>
      <formula2>0</formula2>
    </dataValidation>
    <dataValidation allowBlank="false" error="Selecione Alta, Média ou Baixa no menu." errorStyle="stop" errorTitle="Escolha uma prioridade" operator="between" showDropDown="false" showErrorMessage="true" showInputMessage="false" sqref="G10:G21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EBBC0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7.22"/>
    <col collapsed="false" customWidth="true" hidden="false" outlineLevel="0" max="3" min="3" style="0" width="15"/>
    <col collapsed="false" customWidth="true" hidden="false" outlineLevel="0" max="5" min="4" style="0" width="11.78"/>
    <col collapsed="false" customWidth="true" hidden="false" outlineLevel="0" max="6" min="6" style="0" width="15"/>
    <col collapsed="false" customWidth="true" hidden="false" outlineLevel="0" max="7" min="7" style="0" width="11.78"/>
    <col collapsed="false" customWidth="true" hidden="false" outlineLevel="0" max="8" min="8" style="0" width="12.78"/>
    <col collapsed="false" customWidth="true" hidden="false" outlineLevel="0" max="9" min="9" style="0" width="26.11"/>
    <col collapsed="false" customWidth="true" hidden="false" outlineLevel="0" max="10" min="10" style="0" width="27.22"/>
    <col collapsed="false" customWidth="true" hidden="false" outlineLevel="0" max="11" min="11" style="0" width="18.34"/>
    <col collapsed="false" customWidth="true" hidden="false" outlineLevel="0" max="12" min="12" style="0" width="2"/>
    <col collapsed="false" customWidth="true" hidden="false" outlineLevel="0" max="18" min="13" style="0" width="12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" hidden="false" customHeight="true" outlineLevel="0" collapsed="false">
      <c r="A2" s="1"/>
      <c r="B2" s="2" t="s">
        <v>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21" hidden="false" customHeight="true" outlineLevel="0" collapsed="false">
      <c r="A3" s="1"/>
      <c r="B3" s="19" t="s">
        <v>98</v>
      </c>
      <c r="C3" s="1"/>
      <c r="D3" s="1"/>
      <c r="E3" s="1"/>
      <c r="F3" s="1"/>
      <c r="G3" s="1"/>
      <c r="H3" s="1"/>
      <c r="I3" s="9" t="s">
        <v>58</v>
      </c>
      <c r="J3" s="1"/>
      <c r="K3" s="1"/>
      <c r="L3" s="1"/>
      <c r="M3" s="1"/>
      <c r="N3" s="1"/>
      <c r="O3" s="1"/>
      <c r="P3" s="1"/>
      <c r="Q3" s="1"/>
      <c r="R3" s="1"/>
    </row>
    <row r="4" customFormat="false" ht="2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1" hidden="false" customHeight="true" outlineLevel="0" collapsed="false">
      <c r="A5" s="1"/>
      <c r="B5" s="1" t="s">
        <v>34</v>
      </c>
      <c r="C5" s="11" t="n">
        <v>46419</v>
      </c>
      <c r="D5" s="1"/>
      <c r="E5" s="1"/>
      <c r="F5" s="1" t="s">
        <v>35</v>
      </c>
      <c r="G5" s="11" t="n">
        <v>46447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Format="false" ht="21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Format="false" ht="21" hidden="false" customHeight="true" outlineLevel="0" collapsed="false">
      <c r="A7" s="1"/>
      <c r="B7" s="9" t="s">
        <v>36</v>
      </c>
      <c r="C7" s="9"/>
      <c r="D7" s="9"/>
      <c r="E7" s="9"/>
      <c r="F7" s="9" t="s">
        <v>37</v>
      </c>
      <c r="G7" s="9"/>
      <c r="H7" s="9"/>
      <c r="I7" s="9"/>
      <c r="J7" s="9" t="s">
        <v>99</v>
      </c>
      <c r="K7" s="9"/>
      <c r="L7" s="1"/>
      <c r="M7" s="1"/>
      <c r="N7" s="1"/>
      <c r="O7" s="1"/>
      <c r="P7" s="1"/>
      <c r="Q7" s="1"/>
      <c r="R7" s="1"/>
    </row>
    <row r="8" customFormat="false" ht="21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2" t="n">
        <f aca="false">IF($C$5="","",EDATE($C$5,0))</f>
        <v>46419</v>
      </c>
      <c r="N8" s="12" t="n">
        <f aca="false">IF($C$5="","",EDATE($C$5,1))</f>
        <v>46447</v>
      </c>
      <c r="O8" s="12" t="n">
        <f aca="false">IF($C$5="","",EDATE($C$5,2))</f>
        <v>46478</v>
      </c>
      <c r="P8" s="12" t="n">
        <f aca="false">IF($C$5="","",EDATE($C$5,3))</f>
        <v>46508</v>
      </c>
      <c r="Q8" s="12" t="n">
        <f aca="false">IF($C$5="","",EDATE($C$5,4))</f>
        <v>46539</v>
      </c>
      <c r="R8" s="12" t="n">
        <f aca="false">IF($C$5="","",EDATE($C$5,5))</f>
        <v>46569</v>
      </c>
    </row>
    <row r="9" customFormat="false" ht="36" hidden="false" customHeight="true" outlineLevel="0" collapsed="false">
      <c r="A9" s="1"/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47</v>
      </c>
      <c r="K9" s="4" t="s">
        <v>48</v>
      </c>
      <c r="L9" s="1"/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4" t="s">
        <v>64</v>
      </c>
    </row>
    <row r="10" customFormat="false" ht="43" hidden="false" customHeight="true" outlineLevel="0" collapsed="false">
      <c r="A10" s="1"/>
      <c r="B10" s="13" t="s">
        <v>128</v>
      </c>
      <c r="C10" s="13" t="s">
        <v>129</v>
      </c>
      <c r="D10" s="14" t="n">
        <v>46419</v>
      </c>
      <c r="E10" s="14" t="n">
        <v>46433</v>
      </c>
      <c r="F10" s="15" t="s">
        <v>102</v>
      </c>
      <c r="G10" s="15" t="s">
        <v>103</v>
      </c>
      <c r="H10" s="13"/>
      <c r="I10" s="13" t="s">
        <v>130</v>
      </c>
      <c r="J10" s="13" t="s">
        <v>131</v>
      </c>
      <c r="K10" s="7" t="str">
        <f aca="false">IF(B10="","",IF(OR(D10="",E10=""),"Completar datas",IF(E10&lt;D10,"Rever datas",IF(AND(ISNUMBER($G$5),E10&lt;$G$5,F10&lt;&gt;"Concluído"),"Revisar prazo",""))))</f>
        <v/>
      </c>
      <c r="L10" s="1"/>
      <c r="M10" s="16" t="n">
        <f aca="false">IF(OR($B10="",$D10="",$E10="",M$8=""),"",IF(AND($E10&gt;=$D10,$D10&lt;=EDATE(M$8,1)-1,$E10&gt;=M$8),1,""))</f>
        <v>1</v>
      </c>
      <c r="N10" s="16" t="str">
        <f aca="false">IF(OR($B10="",$D10="",$E10="",N$8=""),"",IF(AND($E10&gt;=$D10,$D10&lt;=EDATE(N$8,1)-1,$E10&gt;=N$8),1,""))</f>
        <v/>
      </c>
      <c r="O10" s="16" t="str">
        <f aca="false">IF(OR($B10="",$D10="",$E10="",O$8=""),"",IF(AND($E10&gt;=$D10,$D10&lt;=EDATE(O$8,1)-1,$E10&gt;=O$8),1,""))</f>
        <v/>
      </c>
      <c r="P10" s="16" t="str">
        <f aca="false">IF(OR($B10="",$D10="",$E10="",P$8=""),"",IF(AND($E10&gt;=$D10,$D10&lt;=EDATE(P$8,1)-1,$E10&gt;=P$8),1,""))</f>
        <v/>
      </c>
      <c r="Q10" s="16" t="str">
        <f aca="false">IF(OR($B10="",$D10="",$E10="",Q$8=""),"",IF(AND($E10&gt;=$D10,$D10&lt;=EDATE(Q$8,1)-1,$E10&gt;=Q$8),1,""))</f>
        <v/>
      </c>
      <c r="R10" s="16" t="str">
        <f aca="false">IF(OR($B10="",$D10="",$E10="",R$8=""),"",IF(AND($E10&gt;=$D10,$D10&lt;=EDATE(R$8,1)-1,$E10&gt;=R$8),1,""))</f>
        <v/>
      </c>
    </row>
    <row r="11" customFormat="false" ht="43" hidden="false" customHeight="true" outlineLevel="0" collapsed="false">
      <c r="A11" s="1"/>
      <c r="B11" s="13" t="s">
        <v>132</v>
      </c>
      <c r="C11" s="13" t="s">
        <v>107</v>
      </c>
      <c r="D11" s="14" t="n">
        <v>46428</v>
      </c>
      <c r="E11" s="14" t="n">
        <v>46461</v>
      </c>
      <c r="F11" s="15" t="s">
        <v>108</v>
      </c>
      <c r="G11" s="15" t="s">
        <v>103</v>
      </c>
      <c r="H11" s="13" t="s">
        <v>133</v>
      </c>
      <c r="I11" s="13" t="s">
        <v>134</v>
      </c>
      <c r="J11" s="13" t="s">
        <v>135</v>
      </c>
      <c r="K11" s="7" t="str">
        <f aca="false">IF(B11="","",IF(OR(D11="",E11=""),"Completar datas",IF(E11&lt;D11,"Rever datas",IF(AND(ISNUMBER($G$5),E11&lt;$G$5,F11&lt;&gt;"Concluído"),"Revisar prazo",""))))</f>
        <v/>
      </c>
      <c r="L11" s="1"/>
      <c r="M11" s="16" t="n">
        <f aca="false">IF(OR($B11="",$D11="",$E11="",M$8=""),"",IF(AND($E11&gt;=$D11,$D11&lt;=EDATE(M$8,1)-1,$E11&gt;=M$8),1,""))</f>
        <v>1</v>
      </c>
      <c r="N11" s="16" t="n">
        <f aca="false">IF(OR($B11="",$D11="",$E11="",N$8=""),"",IF(AND($E11&gt;=$D11,$D11&lt;=EDATE(N$8,1)-1,$E11&gt;=N$8),1,""))</f>
        <v>1</v>
      </c>
      <c r="O11" s="16" t="str">
        <f aca="false">IF(OR($B11="",$D11="",$E11="",O$8=""),"",IF(AND($E11&gt;=$D11,$D11&lt;=EDATE(O$8,1)-1,$E11&gt;=O$8),1,""))</f>
        <v/>
      </c>
      <c r="P11" s="16" t="str">
        <f aca="false">IF(OR($B11="",$D11="",$E11="",P$8=""),"",IF(AND($E11&gt;=$D11,$D11&lt;=EDATE(P$8,1)-1,$E11&gt;=P$8),1,""))</f>
        <v/>
      </c>
      <c r="Q11" s="16" t="str">
        <f aca="false">IF(OR($B11="",$D11="",$E11="",Q$8=""),"",IF(AND($E11&gt;=$D11,$D11&lt;=EDATE(Q$8,1)-1,$E11&gt;=Q$8),1,""))</f>
        <v/>
      </c>
      <c r="R11" s="16" t="str">
        <f aca="false">IF(OR($B11="",$D11="",$E11="",R$8=""),"",IF(AND($E11&gt;=$D11,$D11&lt;=EDATE(R$8,1)-1,$E11&gt;=R$8),1,""))</f>
        <v/>
      </c>
    </row>
    <row r="12" customFormat="false" ht="43" hidden="false" customHeight="true" outlineLevel="0" collapsed="false">
      <c r="A12" s="1"/>
      <c r="B12" s="13" t="s">
        <v>136</v>
      </c>
      <c r="C12" s="13" t="s">
        <v>137</v>
      </c>
      <c r="D12" s="14" t="n">
        <v>46447</v>
      </c>
      <c r="E12" s="14" t="n">
        <v>46492</v>
      </c>
      <c r="F12" s="15" t="s">
        <v>114</v>
      </c>
      <c r="G12" s="15" t="s">
        <v>103</v>
      </c>
      <c r="H12" s="13" t="s">
        <v>138</v>
      </c>
      <c r="I12" s="13" t="s">
        <v>139</v>
      </c>
      <c r="J12" s="13" t="s">
        <v>140</v>
      </c>
      <c r="K12" s="7" t="str">
        <f aca="false">IF(B12="","",IF(OR(D12="",E12=""),"Completar datas",IF(E12&lt;D12,"Rever datas",IF(AND(ISNUMBER($G$5),E12&lt;$G$5,F12&lt;&gt;"Concluído"),"Revisar prazo",""))))</f>
        <v/>
      </c>
      <c r="L12" s="1"/>
      <c r="M12" s="16" t="str">
        <f aca="false">IF(OR($B12="",$D12="",$E12="",M$8=""),"",IF(AND($E12&gt;=$D12,$D12&lt;=EDATE(M$8,1)-1,$E12&gt;=M$8),1,""))</f>
        <v/>
      </c>
      <c r="N12" s="16" t="n">
        <f aca="false">IF(OR($B12="",$D12="",$E12="",N$8=""),"",IF(AND($E12&gt;=$D12,$D12&lt;=EDATE(N$8,1)-1,$E12&gt;=N$8),1,""))</f>
        <v>1</v>
      </c>
      <c r="O12" s="16" t="n">
        <f aca="false">IF(OR($B12="",$D12="",$E12="",O$8=""),"",IF(AND($E12&gt;=$D12,$D12&lt;=EDATE(O$8,1)-1,$E12&gt;=O$8),1,""))</f>
        <v>1</v>
      </c>
      <c r="P12" s="16" t="str">
        <f aca="false">IF(OR($B12="",$D12="",$E12="",P$8=""),"",IF(AND($E12&gt;=$D12,$D12&lt;=EDATE(P$8,1)-1,$E12&gt;=P$8),1,""))</f>
        <v/>
      </c>
      <c r="Q12" s="16" t="str">
        <f aca="false">IF(OR($B12="",$D12="",$E12="",Q$8=""),"",IF(AND($E12&gt;=$D12,$D12&lt;=EDATE(Q$8,1)-1,$E12&gt;=Q$8),1,""))</f>
        <v/>
      </c>
      <c r="R12" s="16" t="str">
        <f aca="false">IF(OR($B12="",$D12="",$E12="",R$8=""),"",IF(AND($E12&gt;=$D12,$D12&lt;=EDATE(R$8,1)-1,$E12&gt;=R$8),1,""))</f>
        <v/>
      </c>
    </row>
    <row r="13" customFormat="false" ht="43" hidden="false" customHeight="true" outlineLevel="0" collapsed="false">
      <c r="A13" s="1"/>
      <c r="B13" s="13" t="s">
        <v>141</v>
      </c>
      <c r="C13" s="13" t="s">
        <v>142</v>
      </c>
      <c r="D13" s="14" t="n">
        <v>46461</v>
      </c>
      <c r="E13" s="14" t="n">
        <v>46568</v>
      </c>
      <c r="F13" s="15" t="s">
        <v>114</v>
      </c>
      <c r="G13" s="15" t="s">
        <v>120</v>
      </c>
      <c r="H13" s="13" t="s">
        <v>138</v>
      </c>
      <c r="I13" s="13" t="s">
        <v>143</v>
      </c>
      <c r="J13" s="13" t="s">
        <v>144</v>
      </c>
      <c r="K13" s="7" t="str">
        <f aca="false">IF(B13="","",IF(OR(D13="",E13=""),"Completar datas",IF(E13&lt;D13,"Rever datas",IF(AND(ISNUMBER($G$5),E13&lt;$G$5,F13&lt;&gt;"Concluído"),"Revisar prazo",""))))</f>
        <v/>
      </c>
      <c r="L13" s="1"/>
      <c r="M13" s="16" t="str">
        <f aca="false">IF(OR($B13="",$D13="",$E13="",M$8=""),"",IF(AND($E13&gt;=$D13,$D13&lt;=EDATE(M$8,1)-1,$E13&gt;=M$8),1,""))</f>
        <v/>
      </c>
      <c r="N13" s="16" t="n">
        <f aca="false">IF(OR($B13="",$D13="",$E13="",N$8=""),"",IF(AND($E13&gt;=$D13,$D13&lt;=EDATE(N$8,1)-1,$E13&gt;=N$8),1,""))</f>
        <v>1</v>
      </c>
      <c r="O13" s="16" t="n">
        <f aca="false">IF(OR($B13="",$D13="",$E13="",O$8=""),"",IF(AND($E13&gt;=$D13,$D13&lt;=EDATE(O$8,1)-1,$E13&gt;=O$8),1,""))</f>
        <v>1</v>
      </c>
      <c r="P13" s="16" t="n">
        <f aca="false">IF(OR($B13="",$D13="",$E13="",P$8=""),"",IF(AND($E13&gt;=$D13,$D13&lt;=EDATE(P$8,1)-1,$E13&gt;=P$8),1,""))</f>
        <v>1</v>
      </c>
      <c r="Q13" s="16" t="n">
        <f aca="false">IF(OR($B13="",$D13="",$E13="",Q$8=""),"",IF(AND($E13&gt;=$D13,$D13&lt;=EDATE(Q$8,1)-1,$E13&gt;=Q$8),1,""))</f>
        <v>1</v>
      </c>
      <c r="R13" s="16" t="str">
        <f aca="false">IF(OR($B13="",$D13="",$E13="",R$8=""),"",IF(AND($E13&gt;=$D13,$D13&lt;=EDATE(R$8,1)-1,$E13&gt;=R$8),1,""))</f>
        <v/>
      </c>
    </row>
    <row r="14" customFormat="false" ht="43" hidden="false" customHeight="true" outlineLevel="0" collapsed="false">
      <c r="A14" s="1"/>
      <c r="B14" s="13" t="s">
        <v>145</v>
      </c>
      <c r="C14" s="13" t="s">
        <v>124</v>
      </c>
      <c r="D14" s="14" t="n">
        <v>46539</v>
      </c>
      <c r="E14" s="14" t="n">
        <v>46599</v>
      </c>
      <c r="F14" s="15" t="s">
        <v>114</v>
      </c>
      <c r="G14" s="15" t="s">
        <v>120</v>
      </c>
      <c r="H14" s="13" t="s">
        <v>146</v>
      </c>
      <c r="I14" s="13" t="s">
        <v>147</v>
      </c>
      <c r="J14" s="13" t="s">
        <v>148</v>
      </c>
      <c r="K14" s="7" t="str">
        <f aca="false">IF(B14="","",IF(OR(D14="",E14=""),"Completar datas",IF(E14&lt;D14,"Rever datas",IF(AND(ISNUMBER($G$5),E14&lt;$G$5,F14&lt;&gt;"Concluído"),"Revisar prazo",""))))</f>
        <v/>
      </c>
      <c r="L14" s="1"/>
      <c r="M14" s="16" t="str">
        <f aca="false">IF(OR($B14="",$D14="",$E14="",M$8=""),"",IF(AND($E14&gt;=$D14,$D14&lt;=EDATE(M$8,1)-1,$E14&gt;=M$8),1,""))</f>
        <v/>
      </c>
      <c r="N14" s="16" t="str">
        <f aca="false">IF(OR($B14="",$D14="",$E14="",N$8=""),"",IF(AND($E14&gt;=$D14,$D14&lt;=EDATE(N$8,1)-1,$E14&gt;=N$8),1,""))</f>
        <v/>
      </c>
      <c r="O14" s="16" t="str">
        <f aca="false">IF(OR($B14="",$D14="",$E14="",O$8=""),"",IF(AND($E14&gt;=$D14,$D14&lt;=EDATE(O$8,1)-1,$E14&gt;=O$8),1,""))</f>
        <v/>
      </c>
      <c r="P14" s="16" t="str">
        <f aca="false">IF(OR($B14="",$D14="",$E14="",P$8=""),"",IF(AND($E14&gt;=$D14,$D14&lt;=EDATE(P$8,1)-1,$E14&gt;=P$8),1,""))</f>
        <v/>
      </c>
      <c r="Q14" s="16" t="n">
        <f aca="false">IF(OR($B14="",$D14="",$E14="",Q$8=""),"",IF(AND($E14&gt;=$D14,$D14&lt;=EDATE(Q$8,1)-1,$E14&gt;=Q$8),1,""))</f>
        <v>1</v>
      </c>
      <c r="R14" s="16" t="n">
        <f aca="false">IF(OR($B14="",$D14="",$E14="",R$8=""),"",IF(AND($E14&gt;=$D14,$D14&lt;=EDATE(R$8,1)-1,$E14&gt;=R$8),1,""))</f>
        <v>1</v>
      </c>
    </row>
    <row r="15" customFormat="false" ht="43" hidden="false" customHeight="true" outlineLevel="0" collapsed="false">
      <c r="A15" s="1"/>
      <c r="B15" s="13"/>
      <c r="C15" s="13"/>
      <c r="D15" s="14"/>
      <c r="E15" s="14"/>
      <c r="F15" s="15"/>
      <c r="G15" s="15"/>
      <c r="H15" s="13"/>
      <c r="I15" s="13"/>
      <c r="J15" s="13"/>
      <c r="K15" s="7" t="str">
        <f aca="false">IF(B15="","",IF(OR(D15="",E15=""),"Completar datas",IF(E15&lt;D15,"Rever datas",IF(AND(ISNUMBER($G$5),E15&lt;$G$5,F15&lt;&gt;"Concluído"),"Revisar prazo",""))))</f>
        <v/>
      </c>
      <c r="L15" s="1"/>
      <c r="M15" s="16" t="str">
        <f aca="false">IF(OR($B15="",$D15="",$E15="",M$8=""),"",IF(AND($E15&gt;=$D15,$D15&lt;=EDATE(M$8,1)-1,$E15&gt;=M$8),1,""))</f>
        <v/>
      </c>
      <c r="N15" s="16" t="str">
        <f aca="false">IF(OR($B15="",$D15="",$E15="",N$8=""),"",IF(AND($E15&gt;=$D15,$D15&lt;=EDATE(N$8,1)-1,$E15&gt;=N$8),1,""))</f>
        <v/>
      </c>
      <c r="O15" s="16" t="str">
        <f aca="false">IF(OR($B15="",$D15="",$E15="",O$8=""),"",IF(AND($E15&gt;=$D15,$D15&lt;=EDATE(O$8,1)-1,$E15&gt;=O$8),1,""))</f>
        <v/>
      </c>
      <c r="P15" s="16" t="str">
        <f aca="false">IF(OR($B15="",$D15="",$E15="",P$8=""),"",IF(AND($E15&gt;=$D15,$D15&lt;=EDATE(P$8,1)-1,$E15&gt;=P$8),1,""))</f>
        <v/>
      </c>
      <c r="Q15" s="16" t="str">
        <f aca="false">IF(OR($B15="",$D15="",$E15="",Q$8=""),"",IF(AND($E15&gt;=$D15,$D15&lt;=EDATE(Q$8,1)-1,$E15&gt;=Q$8),1,""))</f>
        <v/>
      </c>
      <c r="R15" s="16" t="str">
        <f aca="false">IF(OR($B15="",$D15="",$E15="",R$8=""),"",IF(AND($E15&gt;=$D15,$D15&lt;=EDATE(R$8,1)-1,$E15&gt;=R$8),1,""))</f>
        <v/>
      </c>
    </row>
    <row r="16" customFormat="false" ht="43" hidden="false" customHeight="true" outlineLevel="0" collapsed="false">
      <c r="A16" s="1"/>
      <c r="B16" s="13"/>
      <c r="C16" s="13"/>
      <c r="D16" s="14"/>
      <c r="E16" s="14"/>
      <c r="F16" s="15"/>
      <c r="G16" s="15"/>
      <c r="H16" s="13"/>
      <c r="I16" s="13"/>
      <c r="J16" s="13"/>
      <c r="K16" s="7" t="str">
        <f aca="false">IF(B16="","",IF(OR(D16="",E16=""),"Completar datas",IF(E16&lt;D16,"Rever datas",IF(AND(ISNUMBER($G$5),E16&lt;$G$5,F16&lt;&gt;"Concluído"),"Revisar prazo",""))))</f>
        <v/>
      </c>
      <c r="L16" s="1"/>
      <c r="M16" s="16" t="str">
        <f aca="false">IF(OR($B16="",$D16="",$E16="",M$8=""),"",IF(AND($E16&gt;=$D16,$D16&lt;=EDATE(M$8,1)-1,$E16&gt;=M$8),1,""))</f>
        <v/>
      </c>
      <c r="N16" s="16" t="str">
        <f aca="false">IF(OR($B16="",$D16="",$E16="",N$8=""),"",IF(AND($E16&gt;=$D16,$D16&lt;=EDATE(N$8,1)-1,$E16&gt;=N$8),1,""))</f>
        <v/>
      </c>
      <c r="O16" s="16" t="str">
        <f aca="false">IF(OR($B16="",$D16="",$E16="",O$8=""),"",IF(AND($E16&gt;=$D16,$D16&lt;=EDATE(O$8,1)-1,$E16&gt;=O$8),1,""))</f>
        <v/>
      </c>
      <c r="P16" s="16" t="str">
        <f aca="false">IF(OR($B16="",$D16="",$E16="",P$8=""),"",IF(AND($E16&gt;=$D16,$D16&lt;=EDATE(P$8,1)-1,$E16&gt;=P$8),1,""))</f>
        <v/>
      </c>
      <c r="Q16" s="16" t="str">
        <f aca="false">IF(OR($B16="",$D16="",$E16="",Q$8=""),"",IF(AND($E16&gt;=$D16,$D16&lt;=EDATE(Q$8,1)-1,$E16&gt;=Q$8),1,""))</f>
        <v/>
      </c>
      <c r="R16" s="16" t="str">
        <f aca="false">IF(OR($B16="",$D16="",$E16="",R$8=""),"",IF(AND($E16&gt;=$D16,$D16&lt;=EDATE(R$8,1)-1,$E16&gt;=R$8),1,""))</f>
        <v/>
      </c>
    </row>
    <row r="17" customFormat="false" ht="43" hidden="false" customHeight="true" outlineLevel="0" collapsed="false">
      <c r="A17" s="1"/>
      <c r="B17" s="13"/>
      <c r="C17" s="13"/>
      <c r="D17" s="14"/>
      <c r="E17" s="14"/>
      <c r="F17" s="15"/>
      <c r="G17" s="15"/>
      <c r="H17" s="13"/>
      <c r="I17" s="13"/>
      <c r="J17" s="13"/>
      <c r="K17" s="7" t="str">
        <f aca="false">IF(B17="","",IF(OR(D17="",E17=""),"Completar datas",IF(E17&lt;D17,"Rever datas",IF(AND(ISNUMBER($G$5),E17&lt;$G$5,F17&lt;&gt;"Concluído"),"Revisar prazo",""))))</f>
        <v/>
      </c>
      <c r="L17" s="1"/>
      <c r="M17" s="16" t="str">
        <f aca="false">IF(OR($B17="",$D17="",$E17="",M$8=""),"",IF(AND($E17&gt;=$D17,$D17&lt;=EDATE(M$8,1)-1,$E17&gt;=M$8),1,""))</f>
        <v/>
      </c>
      <c r="N17" s="16" t="str">
        <f aca="false">IF(OR($B17="",$D17="",$E17="",N$8=""),"",IF(AND($E17&gt;=$D17,$D17&lt;=EDATE(N$8,1)-1,$E17&gt;=N$8),1,""))</f>
        <v/>
      </c>
      <c r="O17" s="16" t="str">
        <f aca="false">IF(OR($B17="",$D17="",$E17="",O$8=""),"",IF(AND($E17&gt;=$D17,$D17&lt;=EDATE(O$8,1)-1,$E17&gt;=O$8),1,""))</f>
        <v/>
      </c>
      <c r="P17" s="16" t="str">
        <f aca="false">IF(OR($B17="",$D17="",$E17="",P$8=""),"",IF(AND($E17&gt;=$D17,$D17&lt;=EDATE(P$8,1)-1,$E17&gt;=P$8),1,""))</f>
        <v/>
      </c>
      <c r="Q17" s="16" t="str">
        <f aca="false">IF(OR($B17="",$D17="",$E17="",Q$8=""),"",IF(AND($E17&gt;=$D17,$D17&lt;=EDATE(Q$8,1)-1,$E17&gt;=Q$8),1,""))</f>
        <v/>
      </c>
      <c r="R17" s="16" t="str">
        <f aca="false">IF(OR($B17="",$D17="",$E17="",R$8=""),"",IF(AND($E17&gt;=$D17,$D17&lt;=EDATE(R$8,1)-1,$E17&gt;=R$8),1,""))</f>
        <v/>
      </c>
    </row>
    <row r="18" customFormat="false" ht="43" hidden="false" customHeight="true" outlineLevel="0" collapsed="false">
      <c r="A18" s="1"/>
      <c r="B18" s="13"/>
      <c r="C18" s="13"/>
      <c r="D18" s="14"/>
      <c r="E18" s="14"/>
      <c r="F18" s="15"/>
      <c r="G18" s="15"/>
      <c r="H18" s="13"/>
      <c r="I18" s="13"/>
      <c r="J18" s="13"/>
      <c r="K18" s="7" t="str">
        <f aca="false">IF(B18="","",IF(OR(D18="",E18=""),"Completar datas",IF(E18&lt;D18,"Rever datas",IF(AND(ISNUMBER($G$5),E18&lt;$G$5,F18&lt;&gt;"Concluído"),"Revisar prazo",""))))</f>
        <v/>
      </c>
      <c r="L18" s="1"/>
      <c r="M18" s="16" t="str">
        <f aca="false">IF(OR($B18="",$D18="",$E18="",M$8=""),"",IF(AND($E18&gt;=$D18,$D18&lt;=EDATE(M$8,1)-1,$E18&gt;=M$8),1,""))</f>
        <v/>
      </c>
      <c r="N18" s="16" t="str">
        <f aca="false">IF(OR($B18="",$D18="",$E18="",N$8=""),"",IF(AND($E18&gt;=$D18,$D18&lt;=EDATE(N$8,1)-1,$E18&gt;=N$8),1,""))</f>
        <v/>
      </c>
      <c r="O18" s="16" t="str">
        <f aca="false">IF(OR($B18="",$D18="",$E18="",O$8=""),"",IF(AND($E18&gt;=$D18,$D18&lt;=EDATE(O$8,1)-1,$E18&gt;=O$8),1,""))</f>
        <v/>
      </c>
      <c r="P18" s="16" t="str">
        <f aca="false">IF(OR($B18="",$D18="",$E18="",P$8=""),"",IF(AND($E18&gt;=$D18,$D18&lt;=EDATE(P$8,1)-1,$E18&gt;=P$8),1,""))</f>
        <v/>
      </c>
      <c r="Q18" s="16" t="str">
        <f aca="false">IF(OR($B18="",$D18="",$E18="",Q$8=""),"",IF(AND($E18&gt;=$D18,$D18&lt;=EDATE(Q$8,1)-1,$E18&gt;=Q$8),1,""))</f>
        <v/>
      </c>
      <c r="R18" s="16" t="str">
        <f aca="false">IF(OR($B18="",$D18="",$E18="",R$8=""),"",IF(AND($E18&gt;=$D18,$D18&lt;=EDATE(R$8,1)-1,$E18&gt;=R$8),1,""))</f>
        <v/>
      </c>
    </row>
    <row r="19" customFormat="false" ht="43" hidden="false" customHeight="true" outlineLevel="0" collapsed="false">
      <c r="A19" s="1"/>
      <c r="B19" s="13"/>
      <c r="C19" s="13"/>
      <c r="D19" s="14"/>
      <c r="E19" s="14"/>
      <c r="F19" s="15"/>
      <c r="G19" s="15"/>
      <c r="H19" s="13"/>
      <c r="I19" s="13"/>
      <c r="J19" s="13"/>
      <c r="K19" s="7" t="str">
        <f aca="false">IF(B19="","",IF(OR(D19="",E19=""),"Completar datas",IF(E19&lt;D19,"Rever datas",IF(AND(ISNUMBER($G$5),E19&lt;$G$5,F19&lt;&gt;"Concluído"),"Revisar prazo",""))))</f>
        <v/>
      </c>
      <c r="L19" s="1"/>
      <c r="M19" s="16" t="str">
        <f aca="false">IF(OR($B19="",$D19="",$E19="",M$8=""),"",IF(AND($E19&gt;=$D19,$D19&lt;=EDATE(M$8,1)-1,$E19&gt;=M$8),1,""))</f>
        <v/>
      </c>
      <c r="N19" s="16" t="str">
        <f aca="false">IF(OR($B19="",$D19="",$E19="",N$8=""),"",IF(AND($E19&gt;=$D19,$D19&lt;=EDATE(N$8,1)-1,$E19&gt;=N$8),1,""))</f>
        <v/>
      </c>
      <c r="O19" s="16" t="str">
        <f aca="false">IF(OR($B19="",$D19="",$E19="",O$8=""),"",IF(AND($E19&gt;=$D19,$D19&lt;=EDATE(O$8,1)-1,$E19&gt;=O$8),1,""))</f>
        <v/>
      </c>
      <c r="P19" s="16" t="str">
        <f aca="false">IF(OR($B19="",$D19="",$E19="",P$8=""),"",IF(AND($E19&gt;=$D19,$D19&lt;=EDATE(P$8,1)-1,$E19&gt;=P$8),1,""))</f>
        <v/>
      </c>
      <c r="Q19" s="16" t="str">
        <f aca="false">IF(OR($B19="",$D19="",$E19="",Q$8=""),"",IF(AND($E19&gt;=$D19,$D19&lt;=EDATE(Q$8,1)-1,$E19&gt;=Q$8),1,""))</f>
        <v/>
      </c>
      <c r="R19" s="16" t="str">
        <f aca="false">IF(OR($B19="",$D19="",$E19="",R$8=""),"",IF(AND($E19&gt;=$D19,$D19&lt;=EDATE(R$8,1)-1,$E19&gt;=R$8),1,""))</f>
        <v/>
      </c>
    </row>
    <row r="20" customFormat="false" ht="43" hidden="false" customHeight="true" outlineLevel="0" collapsed="false">
      <c r="A20" s="1"/>
      <c r="B20" s="13"/>
      <c r="C20" s="13"/>
      <c r="D20" s="14"/>
      <c r="E20" s="14"/>
      <c r="F20" s="15"/>
      <c r="G20" s="15"/>
      <c r="H20" s="13"/>
      <c r="I20" s="13"/>
      <c r="J20" s="13"/>
      <c r="K20" s="7" t="str">
        <f aca="false">IF(B20="","",IF(OR(D20="",E20=""),"Completar datas",IF(E20&lt;D20,"Rever datas",IF(AND(ISNUMBER($G$5),E20&lt;$G$5,F20&lt;&gt;"Concluído"),"Revisar prazo",""))))</f>
        <v/>
      </c>
      <c r="L20" s="1"/>
      <c r="M20" s="16" t="str">
        <f aca="false">IF(OR($B20="",$D20="",$E20="",M$8=""),"",IF(AND($E20&gt;=$D20,$D20&lt;=EDATE(M$8,1)-1,$E20&gt;=M$8),1,""))</f>
        <v/>
      </c>
      <c r="N20" s="16" t="str">
        <f aca="false">IF(OR($B20="",$D20="",$E20="",N$8=""),"",IF(AND($E20&gt;=$D20,$D20&lt;=EDATE(N$8,1)-1,$E20&gt;=N$8),1,""))</f>
        <v/>
      </c>
      <c r="O20" s="16" t="str">
        <f aca="false">IF(OR($B20="",$D20="",$E20="",O$8=""),"",IF(AND($E20&gt;=$D20,$D20&lt;=EDATE(O$8,1)-1,$E20&gt;=O$8),1,""))</f>
        <v/>
      </c>
      <c r="P20" s="16" t="str">
        <f aca="false">IF(OR($B20="",$D20="",$E20="",P$8=""),"",IF(AND($E20&gt;=$D20,$D20&lt;=EDATE(P$8,1)-1,$E20&gt;=P$8),1,""))</f>
        <v/>
      </c>
      <c r="Q20" s="16" t="str">
        <f aca="false">IF(OR($B20="",$D20="",$E20="",Q$8=""),"",IF(AND($E20&gt;=$D20,$D20&lt;=EDATE(Q$8,1)-1,$E20&gt;=Q$8),1,""))</f>
        <v/>
      </c>
      <c r="R20" s="16" t="str">
        <f aca="false">IF(OR($B20="",$D20="",$E20="",R$8=""),"",IF(AND($E20&gt;=$D20,$D20&lt;=EDATE(R$8,1)-1,$E20&gt;=R$8),1,""))</f>
        <v/>
      </c>
    </row>
    <row r="21" customFormat="false" ht="43" hidden="false" customHeight="true" outlineLevel="0" collapsed="false">
      <c r="A21" s="1"/>
      <c r="B21" s="13"/>
      <c r="C21" s="13"/>
      <c r="D21" s="14"/>
      <c r="E21" s="14"/>
      <c r="F21" s="15"/>
      <c r="G21" s="15"/>
      <c r="H21" s="13"/>
      <c r="I21" s="13"/>
      <c r="J21" s="13"/>
      <c r="K21" s="7" t="str">
        <f aca="false">IF(B21="","",IF(OR(D21="",E21=""),"Completar datas",IF(E21&lt;D21,"Rever datas",IF(AND(ISNUMBER($G$5),E21&lt;$G$5,F21&lt;&gt;"Concluído"),"Revisar prazo",""))))</f>
        <v/>
      </c>
      <c r="L21" s="1"/>
      <c r="M21" s="16" t="str">
        <f aca="false">IF(OR($B21="",$D21="",$E21="",M$8=""),"",IF(AND($E21&gt;=$D21,$D21&lt;=EDATE(M$8,1)-1,$E21&gt;=M$8),1,""))</f>
        <v/>
      </c>
      <c r="N21" s="16" t="str">
        <f aca="false">IF(OR($B21="",$D21="",$E21="",N$8=""),"",IF(AND($E21&gt;=$D21,$D21&lt;=EDATE(N$8,1)-1,$E21&gt;=N$8),1,""))</f>
        <v/>
      </c>
      <c r="O21" s="16" t="str">
        <f aca="false">IF(OR($B21="",$D21="",$E21="",O$8=""),"",IF(AND($E21&gt;=$D21,$D21&lt;=EDATE(O$8,1)-1,$E21&gt;=O$8),1,""))</f>
        <v/>
      </c>
      <c r="P21" s="16" t="str">
        <f aca="false">IF(OR($B21="",$D21="",$E21="",P$8=""),"",IF(AND($E21&gt;=$D21,$D21&lt;=EDATE(P$8,1)-1,$E21&gt;=P$8),1,""))</f>
        <v/>
      </c>
      <c r="Q21" s="16" t="str">
        <f aca="false">IF(OR($B21="",$D21="",$E21="",Q$8=""),"",IF(AND($E21&gt;=$D21,$D21&lt;=EDATE(Q$8,1)-1,$E21&gt;=Q$8),1,""))</f>
        <v/>
      </c>
      <c r="R21" s="16" t="str">
        <f aca="false">IF(OR($B21="",$D21="",$E21="",R$8=""),"",IF(AND($E21&gt;=$D21,$D21&lt;=EDATE(R$8,1)-1,$E21&gt;=R$8),1,""))</f>
        <v/>
      </c>
    </row>
    <row r="22" customFormat="false" ht="21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21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21" hidden="false" customHeight="true" outlineLevel="0" collapsed="false">
      <c r="A24" s="1"/>
      <c r="B24" s="17" t="s">
        <v>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21" hidden="false" customHeight="true" outlineLevel="0" collapsed="false">
      <c r="A25" s="1"/>
      <c r="B25" s="9" t="s">
        <v>54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21" hidden="false" customHeight="true" outlineLevel="0" collapsed="false">
      <c r="A26" s="1"/>
      <c r="B26" s="9" t="s">
        <v>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21" hidden="false" customHeight="true" outlineLevel="0" collapsed="false">
      <c r="A27" s="1"/>
      <c r="B27" s="9" t="s">
        <v>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21" hidden="false" customHeight="true" outlineLevel="0" collapsed="false">
      <c r="A28" s="1"/>
      <c r="B28" s="9" t="s">
        <v>57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21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conditionalFormatting sqref="F10:F21">
    <cfRule type="expression" priority="2" aboveAverage="0" equalAverage="0" bottom="0" percent="0" rank="0" text="" dxfId="105">
      <formula>$F10="A fazer"</formula>
    </cfRule>
    <cfRule type="expression" priority="3" aboveAverage="0" equalAverage="0" bottom="0" percent="0" rank="0" text="" dxfId="106">
      <formula>$F10="Em andamento"</formula>
    </cfRule>
    <cfRule type="expression" priority="4" aboveAverage="0" equalAverage="0" bottom="0" percent="0" rank="0" text="" dxfId="107">
      <formula>$F10="Em validação"</formula>
    </cfRule>
    <cfRule type="expression" priority="5" aboveAverage="0" equalAverage="0" bottom="0" percent="0" rank="0" text="" dxfId="108">
      <formula>$F10="Concluído"</formula>
    </cfRule>
    <cfRule type="expression" priority="6" aboveAverage="0" equalAverage="0" bottom="0" percent="0" rank="0" text="" dxfId="109">
      <formula>$F10="Bloqueado"</formula>
    </cfRule>
    <cfRule type="expression" priority="7" aboveAverage="0" equalAverage="0" bottom="0" percent="0" rank="0" text="" dxfId="110">
      <formula>$F10="Pausado"</formula>
    </cfRule>
  </conditionalFormatting>
  <conditionalFormatting sqref="M10:R21">
    <cfRule type="expression" priority="8" aboveAverage="0" equalAverage="0" bottom="0" percent="0" rank="0" text="" dxfId="111">
      <formula>AND(M10=1,$F10="A fazer")</formula>
    </cfRule>
    <cfRule type="expression" priority="9" aboveAverage="0" equalAverage="0" bottom="0" percent="0" rank="0" text="" dxfId="112">
      <formula>AND(M10=1,$F10="Em andamento")</formula>
    </cfRule>
    <cfRule type="expression" priority="10" aboveAverage="0" equalAverage="0" bottom="0" percent="0" rank="0" text="" dxfId="113">
      <formula>AND(M10=1,$F10="Em validação")</formula>
    </cfRule>
    <cfRule type="expression" priority="11" aboveAverage="0" equalAverage="0" bottom="0" percent="0" rank="0" text="" dxfId="114">
      <formula>AND(M10=1,$F10="Concluído")</formula>
    </cfRule>
    <cfRule type="expression" priority="12" aboveAverage="0" equalAverage="0" bottom="0" percent="0" rank="0" text="" dxfId="115">
      <formula>AND(M10=1,$F10="Bloqueado")</formula>
    </cfRule>
    <cfRule type="expression" priority="13" aboveAverage="0" equalAverage="0" bottom="0" percent="0" rank="0" text="" dxfId="116">
      <formula>AND(M10=1,$F10="Pausado")</formula>
    </cfRule>
    <cfRule type="expression" priority="14" aboveAverage="0" equalAverage="0" bottom="0" percent="0" rank="0" text="" dxfId="117">
      <formula>AND(M10=1,$F10="")</formula>
    </cfRule>
  </conditionalFormatting>
  <conditionalFormatting sqref="K10:K21">
    <cfRule type="containsText" priority="15" operator="containsText" aboveAverage="0" equalAverage="0" bottom="0" percent="0" rank="0" text="Rever datas" dxfId="118">
      <formula>NOT(ISERROR(SEARCH("Rever datas",K10)))</formula>
    </cfRule>
    <cfRule type="containsText" priority="16" operator="containsText" aboveAverage="0" equalAverage="0" bottom="0" percent="0" rank="0" text="Revisar" dxfId="119">
      <formula>NOT(ISERROR(SEARCH("Revisar",K10)))</formula>
    </cfRule>
  </conditionalFormatting>
  <dataValidations count="2">
    <dataValidation allowBlank="false" error="Selecione um dos seis status disponíveis no menu." errorStyle="stop" errorTitle="Escolha um status" operator="between" showDropDown="false" showErrorMessage="true" showInputMessage="false" sqref="F10:F21" type="list">
      <formula1>"A fazer,Em andamento,Em validação,Concluído,Bloqueado,Pausado"</formula1>
      <formula2>0</formula2>
    </dataValidation>
    <dataValidation allowBlank="false" error="Selecione Alta, Média ou Baixa no menu." errorStyle="stop" errorTitle="Escolha uma prioridade" operator="between" showDropDown="false" showErrorMessage="true" showInputMessage="false" sqref="G10:G21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EBBC0"/>
    <pageSetUpPr fitToPage="false"/>
  </sheetPr>
  <dimension ref="A1:X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7.22"/>
    <col collapsed="false" customWidth="true" hidden="false" outlineLevel="0" max="3" min="3" style="0" width="15"/>
    <col collapsed="false" customWidth="true" hidden="false" outlineLevel="0" max="5" min="4" style="0" width="11.78"/>
    <col collapsed="false" customWidth="true" hidden="false" outlineLevel="0" max="6" min="6" style="0" width="15"/>
    <col collapsed="false" customWidth="true" hidden="false" outlineLevel="0" max="7" min="7" style="0" width="11.78"/>
    <col collapsed="false" customWidth="true" hidden="false" outlineLevel="0" max="8" min="8" style="0" width="12.78"/>
    <col collapsed="false" customWidth="true" hidden="false" outlineLevel="0" max="9" min="9" style="0" width="26.11"/>
    <col collapsed="false" customWidth="true" hidden="false" outlineLevel="0" max="10" min="10" style="0" width="27.22"/>
    <col collapsed="false" customWidth="true" hidden="false" outlineLevel="0" max="11" min="11" style="0" width="18.34"/>
    <col collapsed="false" customWidth="true" hidden="false" outlineLevel="0" max="12" min="12" style="0" width="2"/>
    <col collapsed="false" customWidth="true" hidden="false" outlineLevel="0" max="24" min="13" style="0" width="6.89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21" hidden="false" customHeight="true" outlineLevel="0" collapsed="false">
      <c r="A2" s="1"/>
      <c r="B2" s="2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customFormat="false" ht="21" hidden="false" customHeight="true" outlineLevel="0" collapsed="false">
      <c r="A3" s="1"/>
      <c r="B3" s="19" t="s">
        <v>98</v>
      </c>
      <c r="C3" s="1"/>
      <c r="D3" s="1"/>
      <c r="E3" s="1"/>
      <c r="F3" s="1"/>
      <c r="G3" s="1"/>
      <c r="H3" s="1"/>
      <c r="I3" s="9" t="s">
        <v>65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customFormat="false" ht="2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customFormat="false" ht="21" hidden="false" customHeight="true" outlineLevel="0" collapsed="false">
      <c r="A5" s="1"/>
      <c r="B5" s="1" t="s">
        <v>34</v>
      </c>
      <c r="C5" s="11" t="n">
        <v>46419</v>
      </c>
      <c r="D5" s="1"/>
      <c r="E5" s="1"/>
      <c r="F5" s="1" t="s">
        <v>35</v>
      </c>
      <c r="G5" s="11" t="n">
        <v>46447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customFormat="false" ht="21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customFormat="false" ht="21" hidden="false" customHeight="true" outlineLevel="0" collapsed="false">
      <c r="A7" s="1"/>
      <c r="B7" s="9" t="s">
        <v>36</v>
      </c>
      <c r="C7" s="9"/>
      <c r="D7" s="9"/>
      <c r="E7" s="9"/>
      <c r="F7" s="9" t="s">
        <v>37</v>
      </c>
      <c r="G7" s="9"/>
      <c r="H7" s="9"/>
      <c r="I7" s="9"/>
      <c r="J7" s="9" t="s">
        <v>99</v>
      </c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customFormat="false" ht="21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2" t="n">
        <f aca="false">IF($C$5="","",$C$5+0)</f>
        <v>46419</v>
      </c>
      <c r="N8" s="12" t="n">
        <f aca="false">IF($C$5="","",$C$5+7)</f>
        <v>46426</v>
      </c>
      <c r="O8" s="12" t="n">
        <f aca="false">IF($C$5="","",$C$5+14)</f>
        <v>46433</v>
      </c>
      <c r="P8" s="12" t="n">
        <f aca="false">IF($C$5="","",$C$5+21)</f>
        <v>46440</v>
      </c>
      <c r="Q8" s="12" t="n">
        <f aca="false">IF($C$5="","",$C$5+28)</f>
        <v>46447</v>
      </c>
      <c r="R8" s="12" t="n">
        <f aca="false">IF($C$5="","",$C$5+35)</f>
        <v>46454</v>
      </c>
      <c r="S8" s="12" t="n">
        <f aca="false">IF($C$5="","",$C$5+42)</f>
        <v>46461</v>
      </c>
      <c r="T8" s="12" t="n">
        <f aca="false">IF($C$5="","",$C$5+49)</f>
        <v>46468</v>
      </c>
      <c r="U8" s="12" t="n">
        <f aca="false">IF($C$5="","",$C$5+56)</f>
        <v>46475</v>
      </c>
      <c r="V8" s="12" t="n">
        <f aca="false">IF($C$5="","",$C$5+63)</f>
        <v>46482</v>
      </c>
      <c r="W8" s="12" t="n">
        <f aca="false">IF($C$5="","",$C$5+70)</f>
        <v>46489</v>
      </c>
      <c r="X8" s="12" t="n">
        <f aca="false">IF($C$5="","",$C$5+77)</f>
        <v>46496</v>
      </c>
    </row>
    <row r="9" customFormat="false" ht="36" hidden="false" customHeight="true" outlineLevel="0" collapsed="false">
      <c r="A9" s="1"/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47</v>
      </c>
      <c r="K9" s="4" t="s">
        <v>48</v>
      </c>
      <c r="L9" s="1"/>
      <c r="M9" s="4" t="s">
        <v>66</v>
      </c>
      <c r="N9" s="4" t="s">
        <v>67</v>
      </c>
      <c r="O9" s="4" t="s">
        <v>68</v>
      </c>
      <c r="P9" s="4" t="s">
        <v>69</v>
      </c>
      <c r="Q9" s="4" t="s">
        <v>70</v>
      </c>
      <c r="R9" s="4" t="s">
        <v>71</v>
      </c>
      <c r="S9" s="4" t="s">
        <v>72</v>
      </c>
      <c r="T9" s="4" t="s">
        <v>73</v>
      </c>
      <c r="U9" s="4" t="s">
        <v>74</v>
      </c>
      <c r="V9" s="4" t="s">
        <v>75</v>
      </c>
      <c r="W9" s="4" t="s">
        <v>76</v>
      </c>
      <c r="X9" s="4" t="s">
        <v>77</v>
      </c>
    </row>
    <row r="10" customFormat="false" ht="43" hidden="false" customHeight="true" outlineLevel="0" collapsed="false">
      <c r="A10" s="1"/>
      <c r="B10" s="13" t="s">
        <v>149</v>
      </c>
      <c r="C10" s="13" t="s">
        <v>150</v>
      </c>
      <c r="D10" s="14" t="n">
        <v>46419</v>
      </c>
      <c r="E10" s="14" t="n">
        <v>46430</v>
      </c>
      <c r="F10" s="15" t="s">
        <v>102</v>
      </c>
      <c r="G10" s="15" t="s">
        <v>103</v>
      </c>
      <c r="H10" s="13"/>
      <c r="I10" s="13" t="s">
        <v>151</v>
      </c>
      <c r="J10" s="13" t="s">
        <v>152</v>
      </c>
      <c r="K10" s="7" t="str">
        <f aca="false">IF(B10="","",IF(OR(D10="",E10=""),"Completar datas",IF(E10&lt;D10,"Rever datas",IF(AND(ISNUMBER($G$5),E10&lt;$G$5,F10&lt;&gt;"Concluído"),"Revisar prazo",""))))</f>
        <v/>
      </c>
      <c r="L10" s="1"/>
      <c r="M10" s="16" t="n">
        <f aca="false">IF(OR($B10="",$D10="",$E10="",M$8=""),"",IF(AND($E10&gt;=$D10,$D10&lt;=M$8+6,$E10&gt;=M$8),1,""))</f>
        <v>1</v>
      </c>
      <c r="N10" s="16" t="n">
        <f aca="false">IF(OR($B10="",$D10="",$E10="",N$8=""),"",IF(AND($E10&gt;=$D10,$D10&lt;=N$8+6,$E10&gt;=N$8),1,""))</f>
        <v>1</v>
      </c>
      <c r="O10" s="16" t="str">
        <f aca="false">IF(OR($B10="",$D10="",$E10="",O$8=""),"",IF(AND($E10&gt;=$D10,$D10&lt;=O$8+6,$E10&gt;=O$8),1,""))</f>
        <v/>
      </c>
      <c r="P10" s="16" t="str">
        <f aca="false">IF(OR($B10="",$D10="",$E10="",P$8=""),"",IF(AND($E10&gt;=$D10,$D10&lt;=P$8+6,$E10&gt;=P$8),1,""))</f>
        <v/>
      </c>
      <c r="Q10" s="16" t="str">
        <f aca="false">IF(OR($B10="",$D10="",$E10="",Q$8=""),"",IF(AND($E10&gt;=$D10,$D10&lt;=Q$8+6,$E10&gt;=Q$8),1,""))</f>
        <v/>
      </c>
      <c r="R10" s="16" t="str">
        <f aca="false">IF(OR($B10="",$D10="",$E10="",R$8=""),"",IF(AND($E10&gt;=$D10,$D10&lt;=R$8+6,$E10&gt;=R$8),1,""))</f>
        <v/>
      </c>
      <c r="S10" s="16" t="str">
        <f aca="false">IF(OR($B10="",$D10="",$E10="",S$8=""),"",IF(AND($E10&gt;=$D10,$D10&lt;=S$8+6,$E10&gt;=S$8),1,""))</f>
        <v/>
      </c>
      <c r="T10" s="16" t="str">
        <f aca="false">IF(OR($B10="",$D10="",$E10="",T$8=""),"",IF(AND($E10&gt;=$D10,$D10&lt;=T$8+6,$E10&gt;=T$8),1,""))</f>
        <v/>
      </c>
      <c r="U10" s="16" t="str">
        <f aca="false">IF(OR($B10="",$D10="",$E10="",U$8=""),"",IF(AND($E10&gt;=$D10,$D10&lt;=U$8+6,$E10&gt;=U$8),1,""))</f>
        <v/>
      </c>
      <c r="V10" s="16" t="str">
        <f aca="false">IF(OR($B10="",$D10="",$E10="",V$8=""),"",IF(AND($E10&gt;=$D10,$D10&lt;=V$8+6,$E10&gt;=V$8),1,""))</f>
        <v/>
      </c>
      <c r="W10" s="16" t="str">
        <f aca="false">IF(OR($B10="",$D10="",$E10="",W$8=""),"",IF(AND($E10&gt;=$D10,$D10&lt;=W$8+6,$E10&gt;=W$8),1,""))</f>
        <v/>
      </c>
      <c r="X10" s="16" t="str">
        <f aca="false">IF(OR($B10="",$D10="",$E10="",X$8=""),"",IF(AND($E10&gt;=$D10,$D10&lt;=X$8+6,$E10&gt;=X$8),1,""))</f>
        <v/>
      </c>
    </row>
    <row r="11" customFormat="false" ht="43" hidden="false" customHeight="true" outlineLevel="0" collapsed="false">
      <c r="A11" s="1"/>
      <c r="B11" s="13" t="s">
        <v>153</v>
      </c>
      <c r="C11" s="13" t="s">
        <v>154</v>
      </c>
      <c r="D11" s="14" t="n">
        <v>46426</v>
      </c>
      <c r="E11" s="14" t="n">
        <v>46451</v>
      </c>
      <c r="F11" s="15" t="s">
        <v>108</v>
      </c>
      <c r="G11" s="15" t="s">
        <v>103</v>
      </c>
      <c r="H11" s="13" t="s">
        <v>155</v>
      </c>
      <c r="I11" s="13" t="s">
        <v>156</v>
      </c>
      <c r="J11" s="13" t="s">
        <v>157</v>
      </c>
      <c r="K11" s="7" t="str">
        <f aca="false">IF(B11="","",IF(OR(D11="",E11=""),"Completar datas",IF(E11&lt;D11,"Rever datas",IF(AND(ISNUMBER($G$5),E11&lt;$G$5,F11&lt;&gt;"Concluído"),"Revisar prazo",""))))</f>
        <v/>
      </c>
      <c r="L11" s="1"/>
      <c r="M11" s="16" t="str">
        <f aca="false">IF(OR($B11="",$D11="",$E11="",M$8=""),"",IF(AND($E11&gt;=$D11,$D11&lt;=M$8+6,$E11&gt;=M$8),1,""))</f>
        <v/>
      </c>
      <c r="N11" s="16" t="n">
        <f aca="false">IF(OR($B11="",$D11="",$E11="",N$8=""),"",IF(AND($E11&gt;=$D11,$D11&lt;=N$8+6,$E11&gt;=N$8),1,""))</f>
        <v>1</v>
      </c>
      <c r="O11" s="16" t="n">
        <f aca="false">IF(OR($B11="",$D11="",$E11="",O$8=""),"",IF(AND($E11&gt;=$D11,$D11&lt;=O$8+6,$E11&gt;=O$8),1,""))</f>
        <v>1</v>
      </c>
      <c r="P11" s="16" t="n">
        <f aca="false">IF(OR($B11="",$D11="",$E11="",P$8=""),"",IF(AND($E11&gt;=$D11,$D11&lt;=P$8+6,$E11&gt;=P$8),1,""))</f>
        <v>1</v>
      </c>
      <c r="Q11" s="16" t="n">
        <f aca="false">IF(OR($B11="",$D11="",$E11="",Q$8=""),"",IF(AND($E11&gt;=$D11,$D11&lt;=Q$8+6,$E11&gt;=Q$8),1,""))</f>
        <v>1</v>
      </c>
      <c r="R11" s="16" t="str">
        <f aca="false">IF(OR($B11="",$D11="",$E11="",R$8=""),"",IF(AND($E11&gt;=$D11,$D11&lt;=R$8+6,$E11&gt;=R$8),1,""))</f>
        <v/>
      </c>
      <c r="S11" s="16" t="str">
        <f aca="false">IF(OR($B11="",$D11="",$E11="",S$8=""),"",IF(AND($E11&gt;=$D11,$D11&lt;=S$8+6,$E11&gt;=S$8),1,""))</f>
        <v/>
      </c>
      <c r="T11" s="16" t="str">
        <f aca="false">IF(OR($B11="",$D11="",$E11="",T$8=""),"",IF(AND($E11&gt;=$D11,$D11&lt;=T$8+6,$E11&gt;=T$8),1,""))</f>
        <v/>
      </c>
      <c r="U11" s="16" t="str">
        <f aca="false">IF(OR($B11="",$D11="",$E11="",U$8=""),"",IF(AND($E11&gt;=$D11,$D11&lt;=U$8+6,$E11&gt;=U$8),1,""))</f>
        <v/>
      </c>
      <c r="V11" s="16" t="str">
        <f aca="false">IF(OR($B11="",$D11="",$E11="",V$8=""),"",IF(AND($E11&gt;=$D11,$D11&lt;=V$8+6,$E11&gt;=V$8),1,""))</f>
        <v/>
      </c>
      <c r="W11" s="16" t="str">
        <f aca="false">IF(OR($B11="",$D11="",$E11="",W$8=""),"",IF(AND($E11&gt;=$D11,$D11&lt;=W$8+6,$E11&gt;=W$8),1,""))</f>
        <v/>
      </c>
      <c r="X11" s="16" t="str">
        <f aca="false">IF(OR($B11="",$D11="",$E11="",X$8=""),"",IF(AND($E11&gt;=$D11,$D11&lt;=X$8+6,$E11&gt;=X$8),1,""))</f>
        <v/>
      </c>
    </row>
    <row r="12" customFormat="false" ht="43" hidden="false" customHeight="true" outlineLevel="0" collapsed="false">
      <c r="A12" s="1"/>
      <c r="B12" s="13" t="s">
        <v>158</v>
      </c>
      <c r="C12" s="13" t="s">
        <v>159</v>
      </c>
      <c r="D12" s="14" t="n">
        <v>46454</v>
      </c>
      <c r="E12" s="14" t="n">
        <v>46472</v>
      </c>
      <c r="F12" s="15" t="s">
        <v>114</v>
      </c>
      <c r="G12" s="15" t="s">
        <v>103</v>
      </c>
      <c r="H12" s="13" t="s">
        <v>160</v>
      </c>
      <c r="I12" s="13" t="s">
        <v>161</v>
      </c>
      <c r="J12" s="13" t="s">
        <v>162</v>
      </c>
      <c r="K12" s="7" t="str">
        <f aca="false">IF(B12="","",IF(OR(D12="",E12=""),"Completar datas",IF(E12&lt;D12,"Rever datas",IF(AND(ISNUMBER($G$5),E12&lt;$G$5,F12&lt;&gt;"Concluído"),"Revisar prazo",""))))</f>
        <v/>
      </c>
      <c r="L12" s="1"/>
      <c r="M12" s="16" t="str">
        <f aca="false">IF(OR($B12="",$D12="",$E12="",M$8=""),"",IF(AND($E12&gt;=$D12,$D12&lt;=M$8+6,$E12&gt;=M$8),1,""))</f>
        <v/>
      </c>
      <c r="N12" s="16" t="str">
        <f aca="false">IF(OR($B12="",$D12="",$E12="",N$8=""),"",IF(AND($E12&gt;=$D12,$D12&lt;=N$8+6,$E12&gt;=N$8),1,""))</f>
        <v/>
      </c>
      <c r="O12" s="16" t="str">
        <f aca="false">IF(OR($B12="",$D12="",$E12="",O$8=""),"",IF(AND($E12&gt;=$D12,$D12&lt;=O$8+6,$E12&gt;=O$8),1,""))</f>
        <v/>
      </c>
      <c r="P12" s="16" t="str">
        <f aca="false">IF(OR($B12="",$D12="",$E12="",P$8=""),"",IF(AND($E12&gt;=$D12,$D12&lt;=P$8+6,$E12&gt;=P$8),1,""))</f>
        <v/>
      </c>
      <c r="Q12" s="16" t="str">
        <f aca="false">IF(OR($B12="",$D12="",$E12="",Q$8=""),"",IF(AND($E12&gt;=$D12,$D12&lt;=Q$8+6,$E12&gt;=Q$8),1,""))</f>
        <v/>
      </c>
      <c r="R12" s="16" t="n">
        <f aca="false">IF(OR($B12="",$D12="",$E12="",R$8=""),"",IF(AND($E12&gt;=$D12,$D12&lt;=R$8+6,$E12&gt;=R$8),1,""))</f>
        <v>1</v>
      </c>
      <c r="S12" s="16" t="n">
        <f aca="false">IF(OR($B12="",$D12="",$E12="",S$8=""),"",IF(AND($E12&gt;=$D12,$D12&lt;=S$8+6,$E12&gt;=S$8),1,""))</f>
        <v>1</v>
      </c>
      <c r="T12" s="16" t="n">
        <f aca="false">IF(OR($B12="",$D12="",$E12="",T$8=""),"",IF(AND($E12&gt;=$D12,$D12&lt;=T$8+6,$E12&gt;=T$8),1,""))</f>
        <v>1</v>
      </c>
      <c r="U12" s="16" t="str">
        <f aca="false">IF(OR($B12="",$D12="",$E12="",U$8=""),"",IF(AND($E12&gt;=$D12,$D12&lt;=U$8+6,$E12&gt;=U$8),1,""))</f>
        <v/>
      </c>
      <c r="V12" s="16" t="str">
        <f aca="false">IF(OR($B12="",$D12="",$E12="",V$8=""),"",IF(AND($E12&gt;=$D12,$D12&lt;=V$8+6,$E12&gt;=V$8),1,""))</f>
        <v/>
      </c>
      <c r="W12" s="16" t="str">
        <f aca="false">IF(OR($B12="",$D12="",$E12="",W$8=""),"",IF(AND($E12&gt;=$D12,$D12&lt;=W$8+6,$E12&gt;=W$8),1,""))</f>
        <v/>
      </c>
      <c r="X12" s="16" t="str">
        <f aca="false">IF(OR($B12="",$D12="",$E12="",X$8=""),"",IF(AND($E12&gt;=$D12,$D12&lt;=X$8+6,$E12&gt;=X$8),1,""))</f>
        <v/>
      </c>
    </row>
    <row r="13" customFormat="false" ht="43" hidden="false" customHeight="true" outlineLevel="0" collapsed="false">
      <c r="A13" s="1"/>
      <c r="B13" s="13" t="s">
        <v>163</v>
      </c>
      <c r="C13" s="13" t="s">
        <v>164</v>
      </c>
      <c r="D13" s="14" t="n">
        <v>46468</v>
      </c>
      <c r="E13" s="14" t="n">
        <v>46486</v>
      </c>
      <c r="F13" s="15" t="s">
        <v>114</v>
      </c>
      <c r="G13" s="15" t="s">
        <v>103</v>
      </c>
      <c r="H13" s="13" t="s">
        <v>165</v>
      </c>
      <c r="I13" s="13" t="s">
        <v>166</v>
      </c>
      <c r="J13" s="13" t="s">
        <v>167</v>
      </c>
      <c r="K13" s="7" t="str">
        <f aca="false">IF(B13="","",IF(OR(D13="",E13=""),"Completar datas",IF(E13&lt;D13,"Rever datas",IF(AND(ISNUMBER($G$5),E13&lt;$G$5,F13&lt;&gt;"Concluído"),"Revisar prazo",""))))</f>
        <v/>
      </c>
      <c r="L13" s="1"/>
      <c r="M13" s="16" t="str">
        <f aca="false">IF(OR($B13="",$D13="",$E13="",M$8=""),"",IF(AND($E13&gt;=$D13,$D13&lt;=M$8+6,$E13&gt;=M$8),1,""))</f>
        <v/>
      </c>
      <c r="N13" s="16" t="str">
        <f aca="false">IF(OR($B13="",$D13="",$E13="",N$8=""),"",IF(AND($E13&gt;=$D13,$D13&lt;=N$8+6,$E13&gt;=N$8),1,""))</f>
        <v/>
      </c>
      <c r="O13" s="16" t="str">
        <f aca="false">IF(OR($B13="",$D13="",$E13="",O$8=""),"",IF(AND($E13&gt;=$D13,$D13&lt;=O$8+6,$E13&gt;=O$8),1,""))</f>
        <v/>
      </c>
      <c r="P13" s="16" t="str">
        <f aca="false">IF(OR($B13="",$D13="",$E13="",P$8=""),"",IF(AND($E13&gt;=$D13,$D13&lt;=P$8+6,$E13&gt;=P$8),1,""))</f>
        <v/>
      </c>
      <c r="Q13" s="16" t="str">
        <f aca="false">IF(OR($B13="",$D13="",$E13="",Q$8=""),"",IF(AND($E13&gt;=$D13,$D13&lt;=Q$8+6,$E13&gt;=Q$8),1,""))</f>
        <v/>
      </c>
      <c r="R13" s="16" t="str">
        <f aca="false">IF(OR($B13="",$D13="",$E13="",R$8=""),"",IF(AND($E13&gt;=$D13,$D13&lt;=R$8+6,$E13&gt;=R$8),1,""))</f>
        <v/>
      </c>
      <c r="S13" s="16" t="str">
        <f aca="false">IF(OR($B13="",$D13="",$E13="",S$8=""),"",IF(AND($E13&gt;=$D13,$D13&lt;=S$8+6,$E13&gt;=S$8),1,""))</f>
        <v/>
      </c>
      <c r="T13" s="16" t="n">
        <f aca="false">IF(OR($B13="",$D13="",$E13="",T$8=""),"",IF(AND($E13&gt;=$D13,$D13&lt;=T$8+6,$E13&gt;=T$8),1,""))</f>
        <v>1</v>
      </c>
      <c r="U13" s="16" t="n">
        <f aca="false">IF(OR($B13="",$D13="",$E13="",U$8=""),"",IF(AND($E13&gt;=$D13,$D13&lt;=U$8+6,$E13&gt;=U$8),1,""))</f>
        <v>1</v>
      </c>
      <c r="V13" s="16" t="n">
        <f aca="false">IF(OR($B13="",$D13="",$E13="",V$8=""),"",IF(AND($E13&gt;=$D13,$D13&lt;=V$8+6,$E13&gt;=V$8),1,""))</f>
        <v>1</v>
      </c>
      <c r="W13" s="16" t="str">
        <f aca="false">IF(OR($B13="",$D13="",$E13="",W$8=""),"",IF(AND($E13&gt;=$D13,$D13&lt;=W$8+6,$E13&gt;=W$8),1,""))</f>
        <v/>
      </c>
      <c r="X13" s="16" t="str">
        <f aca="false">IF(OR($B13="",$D13="",$E13="",X$8=""),"",IF(AND($E13&gt;=$D13,$D13&lt;=X$8+6,$E13&gt;=X$8),1,""))</f>
        <v/>
      </c>
    </row>
    <row r="14" customFormat="false" ht="43" hidden="false" customHeight="true" outlineLevel="0" collapsed="false">
      <c r="A14" s="1"/>
      <c r="B14" s="13" t="s">
        <v>168</v>
      </c>
      <c r="C14" s="13" t="s">
        <v>150</v>
      </c>
      <c r="D14" s="14" t="n">
        <v>46489</v>
      </c>
      <c r="E14" s="14" t="n">
        <v>46502</v>
      </c>
      <c r="F14" s="15" t="s">
        <v>114</v>
      </c>
      <c r="G14" s="15" t="s">
        <v>103</v>
      </c>
      <c r="H14" s="13" t="s">
        <v>169</v>
      </c>
      <c r="I14" s="13" t="s">
        <v>170</v>
      </c>
      <c r="J14" s="13" t="s">
        <v>171</v>
      </c>
      <c r="K14" s="7" t="str">
        <f aca="false">IF(B14="","",IF(OR(D14="",E14=""),"Completar datas",IF(E14&lt;D14,"Rever datas",IF(AND(ISNUMBER($G$5),E14&lt;$G$5,F14&lt;&gt;"Concluído"),"Revisar prazo",""))))</f>
        <v/>
      </c>
      <c r="L14" s="1"/>
      <c r="M14" s="16" t="str">
        <f aca="false">IF(OR($B14="",$D14="",$E14="",M$8=""),"",IF(AND($E14&gt;=$D14,$D14&lt;=M$8+6,$E14&gt;=M$8),1,""))</f>
        <v/>
      </c>
      <c r="N14" s="16" t="str">
        <f aca="false">IF(OR($B14="",$D14="",$E14="",N$8=""),"",IF(AND($E14&gt;=$D14,$D14&lt;=N$8+6,$E14&gt;=N$8),1,""))</f>
        <v/>
      </c>
      <c r="O14" s="16" t="str">
        <f aca="false">IF(OR($B14="",$D14="",$E14="",O$8=""),"",IF(AND($E14&gt;=$D14,$D14&lt;=O$8+6,$E14&gt;=O$8),1,""))</f>
        <v/>
      </c>
      <c r="P14" s="16" t="str">
        <f aca="false">IF(OR($B14="",$D14="",$E14="",P$8=""),"",IF(AND($E14&gt;=$D14,$D14&lt;=P$8+6,$E14&gt;=P$8),1,""))</f>
        <v/>
      </c>
      <c r="Q14" s="16" t="str">
        <f aca="false">IF(OR($B14="",$D14="",$E14="",Q$8=""),"",IF(AND($E14&gt;=$D14,$D14&lt;=Q$8+6,$E14&gt;=Q$8),1,""))</f>
        <v/>
      </c>
      <c r="R14" s="16" t="str">
        <f aca="false">IF(OR($B14="",$D14="",$E14="",R$8=""),"",IF(AND($E14&gt;=$D14,$D14&lt;=R$8+6,$E14&gt;=R$8),1,""))</f>
        <v/>
      </c>
      <c r="S14" s="16" t="str">
        <f aca="false">IF(OR($B14="",$D14="",$E14="",S$8=""),"",IF(AND($E14&gt;=$D14,$D14&lt;=S$8+6,$E14&gt;=S$8),1,""))</f>
        <v/>
      </c>
      <c r="T14" s="16" t="str">
        <f aca="false">IF(OR($B14="",$D14="",$E14="",T$8=""),"",IF(AND($E14&gt;=$D14,$D14&lt;=T$8+6,$E14&gt;=T$8),1,""))</f>
        <v/>
      </c>
      <c r="U14" s="16" t="str">
        <f aca="false">IF(OR($B14="",$D14="",$E14="",U$8=""),"",IF(AND($E14&gt;=$D14,$D14&lt;=U$8+6,$E14&gt;=U$8),1,""))</f>
        <v/>
      </c>
      <c r="V14" s="16" t="str">
        <f aca="false">IF(OR($B14="",$D14="",$E14="",V$8=""),"",IF(AND($E14&gt;=$D14,$D14&lt;=V$8+6,$E14&gt;=V$8),1,""))</f>
        <v/>
      </c>
      <c r="W14" s="16" t="n">
        <f aca="false">IF(OR($B14="",$D14="",$E14="",W$8=""),"",IF(AND($E14&gt;=$D14,$D14&lt;=W$8+6,$E14&gt;=W$8),1,""))</f>
        <v>1</v>
      </c>
      <c r="X14" s="16" t="n">
        <f aca="false">IF(OR($B14="",$D14="",$E14="",X$8=""),"",IF(AND($E14&gt;=$D14,$D14&lt;=X$8+6,$E14&gt;=X$8),1,""))</f>
        <v>1</v>
      </c>
    </row>
    <row r="15" customFormat="false" ht="43" hidden="false" customHeight="true" outlineLevel="0" collapsed="false">
      <c r="A15" s="1"/>
      <c r="B15" s="13"/>
      <c r="C15" s="13"/>
      <c r="D15" s="14"/>
      <c r="E15" s="14"/>
      <c r="F15" s="15"/>
      <c r="G15" s="15"/>
      <c r="H15" s="13"/>
      <c r="I15" s="13"/>
      <c r="J15" s="13"/>
      <c r="K15" s="7" t="str">
        <f aca="false">IF(B15="","",IF(OR(D15="",E15=""),"Completar datas",IF(E15&lt;D15,"Rever datas",IF(AND(ISNUMBER($G$5),E15&lt;$G$5,F15&lt;&gt;"Concluído"),"Revisar prazo",""))))</f>
        <v/>
      </c>
      <c r="L15" s="1"/>
      <c r="M15" s="16" t="str">
        <f aca="false">IF(OR($B15="",$D15="",$E15="",M$8=""),"",IF(AND($E15&gt;=$D15,$D15&lt;=M$8+6,$E15&gt;=M$8),1,""))</f>
        <v/>
      </c>
      <c r="N15" s="16" t="str">
        <f aca="false">IF(OR($B15="",$D15="",$E15="",N$8=""),"",IF(AND($E15&gt;=$D15,$D15&lt;=N$8+6,$E15&gt;=N$8),1,""))</f>
        <v/>
      </c>
      <c r="O15" s="16" t="str">
        <f aca="false">IF(OR($B15="",$D15="",$E15="",O$8=""),"",IF(AND($E15&gt;=$D15,$D15&lt;=O$8+6,$E15&gt;=O$8),1,""))</f>
        <v/>
      </c>
      <c r="P15" s="16" t="str">
        <f aca="false">IF(OR($B15="",$D15="",$E15="",P$8=""),"",IF(AND($E15&gt;=$D15,$D15&lt;=P$8+6,$E15&gt;=P$8),1,""))</f>
        <v/>
      </c>
      <c r="Q15" s="16" t="str">
        <f aca="false">IF(OR($B15="",$D15="",$E15="",Q$8=""),"",IF(AND($E15&gt;=$D15,$D15&lt;=Q$8+6,$E15&gt;=Q$8),1,""))</f>
        <v/>
      </c>
      <c r="R15" s="16" t="str">
        <f aca="false">IF(OR($B15="",$D15="",$E15="",R$8=""),"",IF(AND($E15&gt;=$D15,$D15&lt;=R$8+6,$E15&gt;=R$8),1,""))</f>
        <v/>
      </c>
      <c r="S15" s="16" t="str">
        <f aca="false">IF(OR($B15="",$D15="",$E15="",S$8=""),"",IF(AND($E15&gt;=$D15,$D15&lt;=S$8+6,$E15&gt;=S$8),1,""))</f>
        <v/>
      </c>
      <c r="T15" s="16" t="str">
        <f aca="false">IF(OR($B15="",$D15="",$E15="",T$8=""),"",IF(AND($E15&gt;=$D15,$D15&lt;=T$8+6,$E15&gt;=T$8),1,""))</f>
        <v/>
      </c>
      <c r="U15" s="16" t="str">
        <f aca="false">IF(OR($B15="",$D15="",$E15="",U$8=""),"",IF(AND($E15&gt;=$D15,$D15&lt;=U$8+6,$E15&gt;=U$8),1,""))</f>
        <v/>
      </c>
      <c r="V15" s="16" t="str">
        <f aca="false">IF(OR($B15="",$D15="",$E15="",V$8=""),"",IF(AND($E15&gt;=$D15,$D15&lt;=V$8+6,$E15&gt;=V$8),1,""))</f>
        <v/>
      </c>
      <c r="W15" s="16" t="str">
        <f aca="false">IF(OR($B15="",$D15="",$E15="",W$8=""),"",IF(AND($E15&gt;=$D15,$D15&lt;=W$8+6,$E15&gt;=W$8),1,""))</f>
        <v/>
      </c>
      <c r="X15" s="16" t="str">
        <f aca="false">IF(OR($B15="",$D15="",$E15="",X$8=""),"",IF(AND($E15&gt;=$D15,$D15&lt;=X$8+6,$E15&gt;=X$8),1,""))</f>
        <v/>
      </c>
    </row>
    <row r="16" customFormat="false" ht="43" hidden="false" customHeight="true" outlineLevel="0" collapsed="false">
      <c r="A16" s="1"/>
      <c r="B16" s="13"/>
      <c r="C16" s="13"/>
      <c r="D16" s="14"/>
      <c r="E16" s="14"/>
      <c r="F16" s="15"/>
      <c r="G16" s="15"/>
      <c r="H16" s="13"/>
      <c r="I16" s="13"/>
      <c r="J16" s="13"/>
      <c r="K16" s="7" t="str">
        <f aca="false">IF(B16="","",IF(OR(D16="",E16=""),"Completar datas",IF(E16&lt;D16,"Rever datas",IF(AND(ISNUMBER($G$5),E16&lt;$G$5,F16&lt;&gt;"Concluído"),"Revisar prazo",""))))</f>
        <v/>
      </c>
      <c r="L16" s="1"/>
      <c r="M16" s="16" t="str">
        <f aca="false">IF(OR($B16="",$D16="",$E16="",M$8=""),"",IF(AND($E16&gt;=$D16,$D16&lt;=M$8+6,$E16&gt;=M$8),1,""))</f>
        <v/>
      </c>
      <c r="N16" s="16" t="str">
        <f aca="false">IF(OR($B16="",$D16="",$E16="",N$8=""),"",IF(AND($E16&gt;=$D16,$D16&lt;=N$8+6,$E16&gt;=N$8),1,""))</f>
        <v/>
      </c>
      <c r="O16" s="16" t="str">
        <f aca="false">IF(OR($B16="",$D16="",$E16="",O$8=""),"",IF(AND($E16&gt;=$D16,$D16&lt;=O$8+6,$E16&gt;=O$8),1,""))</f>
        <v/>
      </c>
      <c r="P16" s="16" t="str">
        <f aca="false">IF(OR($B16="",$D16="",$E16="",P$8=""),"",IF(AND($E16&gt;=$D16,$D16&lt;=P$8+6,$E16&gt;=P$8),1,""))</f>
        <v/>
      </c>
      <c r="Q16" s="16" t="str">
        <f aca="false">IF(OR($B16="",$D16="",$E16="",Q$8=""),"",IF(AND($E16&gt;=$D16,$D16&lt;=Q$8+6,$E16&gt;=Q$8),1,""))</f>
        <v/>
      </c>
      <c r="R16" s="16" t="str">
        <f aca="false">IF(OR($B16="",$D16="",$E16="",R$8=""),"",IF(AND($E16&gt;=$D16,$D16&lt;=R$8+6,$E16&gt;=R$8),1,""))</f>
        <v/>
      </c>
      <c r="S16" s="16" t="str">
        <f aca="false">IF(OR($B16="",$D16="",$E16="",S$8=""),"",IF(AND($E16&gt;=$D16,$D16&lt;=S$8+6,$E16&gt;=S$8),1,""))</f>
        <v/>
      </c>
      <c r="T16" s="16" t="str">
        <f aca="false">IF(OR($B16="",$D16="",$E16="",T$8=""),"",IF(AND($E16&gt;=$D16,$D16&lt;=T$8+6,$E16&gt;=T$8),1,""))</f>
        <v/>
      </c>
      <c r="U16" s="16" t="str">
        <f aca="false">IF(OR($B16="",$D16="",$E16="",U$8=""),"",IF(AND($E16&gt;=$D16,$D16&lt;=U$8+6,$E16&gt;=U$8),1,""))</f>
        <v/>
      </c>
      <c r="V16" s="16" t="str">
        <f aca="false">IF(OR($B16="",$D16="",$E16="",V$8=""),"",IF(AND($E16&gt;=$D16,$D16&lt;=V$8+6,$E16&gt;=V$8),1,""))</f>
        <v/>
      </c>
      <c r="W16" s="16" t="str">
        <f aca="false">IF(OR($B16="",$D16="",$E16="",W$8=""),"",IF(AND($E16&gt;=$D16,$D16&lt;=W$8+6,$E16&gt;=W$8),1,""))</f>
        <v/>
      </c>
      <c r="X16" s="16" t="str">
        <f aca="false">IF(OR($B16="",$D16="",$E16="",X$8=""),"",IF(AND($E16&gt;=$D16,$D16&lt;=X$8+6,$E16&gt;=X$8),1,""))</f>
        <v/>
      </c>
    </row>
    <row r="17" customFormat="false" ht="43" hidden="false" customHeight="true" outlineLevel="0" collapsed="false">
      <c r="A17" s="1"/>
      <c r="B17" s="13"/>
      <c r="C17" s="13"/>
      <c r="D17" s="14"/>
      <c r="E17" s="14"/>
      <c r="F17" s="15"/>
      <c r="G17" s="15"/>
      <c r="H17" s="13"/>
      <c r="I17" s="13"/>
      <c r="J17" s="13"/>
      <c r="K17" s="7" t="str">
        <f aca="false">IF(B17="","",IF(OR(D17="",E17=""),"Completar datas",IF(E17&lt;D17,"Rever datas",IF(AND(ISNUMBER($G$5),E17&lt;$G$5,F17&lt;&gt;"Concluído"),"Revisar prazo",""))))</f>
        <v/>
      </c>
      <c r="L17" s="1"/>
      <c r="M17" s="16" t="str">
        <f aca="false">IF(OR($B17="",$D17="",$E17="",M$8=""),"",IF(AND($E17&gt;=$D17,$D17&lt;=M$8+6,$E17&gt;=M$8),1,""))</f>
        <v/>
      </c>
      <c r="N17" s="16" t="str">
        <f aca="false">IF(OR($B17="",$D17="",$E17="",N$8=""),"",IF(AND($E17&gt;=$D17,$D17&lt;=N$8+6,$E17&gt;=N$8),1,""))</f>
        <v/>
      </c>
      <c r="O17" s="16" t="str">
        <f aca="false">IF(OR($B17="",$D17="",$E17="",O$8=""),"",IF(AND($E17&gt;=$D17,$D17&lt;=O$8+6,$E17&gt;=O$8),1,""))</f>
        <v/>
      </c>
      <c r="P17" s="16" t="str">
        <f aca="false">IF(OR($B17="",$D17="",$E17="",P$8=""),"",IF(AND($E17&gt;=$D17,$D17&lt;=P$8+6,$E17&gt;=P$8),1,""))</f>
        <v/>
      </c>
      <c r="Q17" s="16" t="str">
        <f aca="false">IF(OR($B17="",$D17="",$E17="",Q$8=""),"",IF(AND($E17&gt;=$D17,$D17&lt;=Q$8+6,$E17&gt;=Q$8),1,""))</f>
        <v/>
      </c>
      <c r="R17" s="16" t="str">
        <f aca="false">IF(OR($B17="",$D17="",$E17="",R$8=""),"",IF(AND($E17&gt;=$D17,$D17&lt;=R$8+6,$E17&gt;=R$8),1,""))</f>
        <v/>
      </c>
      <c r="S17" s="16" t="str">
        <f aca="false">IF(OR($B17="",$D17="",$E17="",S$8=""),"",IF(AND($E17&gt;=$D17,$D17&lt;=S$8+6,$E17&gt;=S$8),1,""))</f>
        <v/>
      </c>
      <c r="T17" s="16" t="str">
        <f aca="false">IF(OR($B17="",$D17="",$E17="",T$8=""),"",IF(AND($E17&gt;=$D17,$D17&lt;=T$8+6,$E17&gt;=T$8),1,""))</f>
        <v/>
      </c>
      <c r="U17" s="16" t="str">
        <f aca="false">IF(OR($B17="",$D17="",$E17="",U$8=""),"",IF(AND($E17&gt;=$D17,$D17&lt;=U$8+6,$E17&gt;=U$8),1,""))</f>
        <v/>
      </c>
      <c r="V17" s="16" t="str">
        <f aca="false">IF(OR($B17="",$D17="",$E17="",V$8=""),"",IF(AND($E17&gt;=$D17,$D17&lt;=V$8+6,$E17&gt;=V$8),1,""))</f>
        <v/>
      </c>
      <c r="W17" s="16" t="str">
        <f aca="false">IF(OR($B17="",$D17="",$E17="",W$8=""),"",IF(AND($E17&gt;=$D17,$D17&lt;=W$8+6,$E17&gt;=W$8),1,""))</f>
        <v/>
      </c>
      <c r="X17" s="16" t="str">
        <f aca="false">IF(OR($B17="",$D17="",$E17="",X$8=""),"",IF(AND($E17&gt;=$D17,$D17&lt;=X$8+6,$E17&gt;=X$8),1,""))</f>
        <v/>
      </c>
    </row>
    <row r="18" customFormat="false" ht="43" hidden="false" customHeight="true" outlineLevel="0" collapsed="false">
      <c r="A18" s="1"/>
      <c r="B18" s="13"/>
      <c r="C18" s="13"/>
      <c r="D18" s="14"/>
      <c r="E18" s="14"/>
      <c r="F18" s="15"/>
      <c r="G18" s="15"/>
      <c r="H18" s="13"/>
      <c r="I18" s="13"/>
      <c r="J18" s="13"/>
      <c r="K18" s="7" t="str">
        <f aca="false">IF(B18="","",IF(OR(D18="",E18=""),"Completar datas",IF(E18&lt;D18,"Rever datas",IF(AND(ISNUMBER($G$5),E18&lt;$G$5,F18&lt;&gt;"Concluído"),"Revisar prazo",""))))</f>
        <v/>
      </c>
      <c r="L18" s="1"/>
      <c r="M18" s="16" t="str">
        <f aca="false">IF(OR($B18="",$D18="",$E18="",M$8=""),"",IF(AND($E18&gt;=$D18,$D18&lt;=M$8+6,$E18&gt;=M$8),1,""))</f>
        <v/>
      </c>
      <c r="N18" s="16" t="str">
        <f aca="false">IF(OR($B18="",$D18="",$E18="",N$8=""),"",IF(AND($E18&gt;=$D18,$D18&lt;=N$8+6,$E18&gt;=N$8),1,""))</f>
        <v/>
      </c>
      <c r="O18" s="16" t="str">
        <f aca="false">IF(OR($B18="",$D18="",$E18="",O$8=""),"",IF(AND($E18&gt;=$D18,$D18&lt;=O$8+6,$E18&gt;=O$8),1,""))</f>
        <v/>
      </c>
      <c r="P18" s="16" t="str">
        <f aca="false">IF(OR($B18="",$D18="",$E18="",P$8=""),"",IF(AND($E18&gt;=$D18,$D18&lt;=P$8+6,$E18&gt;=P$8),1,""))</f>
        <v/>
      </c>
      <c r="Q18" s="16" t="str">
        <f aca="false">IF(OR($B18="",$D18="",$E18="",Q$8=""),"",IF(AND($E18&gt;=$D18,$D18&lt;=Q$8+6,$E18&gt;=Q$8),1,""))</f>
        <v/>
      </c>
      <c r="R18" s="16" t="str">
        <f aca="false">IF(OR($B18="",$D18="",$E18="",R$8=""),"",IF(AND($E18&gt;=$D18,$D18&lt;=R$8+6,$E18&gt;=R$8),1,""))</f>
        <v/>
      </c>
      <c r="S18" s="16" t="str">
        <f aca="false">IF(OR($B18="",$D18="",$E18="",S$8=""),"",IF(AND($E18&gt;=$D18,$D18&lt;=S$8+6,$E18&gt;=S$8),1,""))</f>
        <v/>
      </c>
      <c r="T18" s="16" t="str">
        <f aca="false">IF(OR($B18="",$D18="",$E18="",T$8=""),"",IF(AND($E18&gt;=$D18,$D18&lt;=T$8+6,$E18&gt;=T$8),1,""))</f>
        <v/>
      </c>
      <c r="U18" s="16" t="str">
        <f aca="false">IF(OR($B18="",$D18="",$E18="",U$8=""),"",IF(AND($E18&gt;=$D18,$D18&lt;=U$8+6,$E18&gt;=U$8),1,""))</f>
        <v/>
      </c>
      <c r="V18" s="16" t="str">
        <f aca="false">IF(OR($B18="",$D18="",$E18="",V$8=""),"",IF(AND($E18&gt;=$D18,$D18&lt;=V$8+6,$E18&gt;=V$8),1,""))</f>
        <v/>
      </c>
      <c r="W18" s="16" t="str">
        <f aca="false">IF(OR($B18="",$D18="",$E18="",W$8=""),"",IF(AND($E18&gt;=$D18,$D18&lt;=W$8+6,$E18&gt;=W$8),1,""))</f>
        <v/>
      </c>
      <c r="X18" s="16" t="str">
        <f aca="false">IF(OR($B18="",$D18="",$E18="",X$8=""),"",IF(AND($E18&gt;=$D18,$D18&lt;=X$8+6,$E18&gt;=X$8),1,""))</f>
        <v/>
      </c>
    </row>
    <row r="19" customFormat="false" ht="43" hidden="false" customHeight="true" outlineLevel="0" collapsed="false">
      <c r="A19" s="1"/>
      <c r="B19" s="13"/>
      <c r="C19" s="13"/>
      <c r="D19" s="14"/>
      <c r="E19" s="14"/>
      <c r="F19" s="15"/>
      <c r="G19" s="15"/>
      <c r="H19" s="13"/>
      <c r="I19" s="13"/>
      <c r="J19" s="13"/>
      <c r="K19" s="7" t="str">
        <f aca="false">IF(B19="","",IF(OR(D19="",E19=""),"Completar datas",IF(E19&lt;D19,"Rever datas",IF(AND(ISNUMBER($G$5),E19&lt;$G$5,F19&lt;&gt;"Concluído"),"Revisar prazo",""))))</f>
        <v/>
      </c>
      <c r="L19" s="1"/>
      <c r="M19" s="16" t="str">
        <f aca="false">IF(OR($B19="",$D19="",$E19="",M$8=""),"",IF(AND($E19&gt;=$D19,$D19&lt;=M$8+6,$E19&gt;=M$8),1,""))</f>
        <v/>
      </c>
      <c r="N19" s="16" t="str">
        <f aca="false">IF(OR($B19="",$D19="",$E19="",N$8=""),"",IF(AND($E19&gt;=$D19,$D19&lt;=N$8+6,$E19&gt;=N$8),1,""))</f>
        <v/>
      </c>
      <c r="O19" s="16" t="str">
        <f aca="false">IF(OR($B19="",$D19="",$E19="",O$8=""),"",IF(AND($E19&gt;=$D19,$D19&lt;=O$8+6,$E19&gt;=O$8),1,""))</f>
        <v/>
      </c>
      <c r="P19" s="16" t="str">
        <f aca="false">IF(OR($B19="",$D19="",$E19="",P$8=""),"",IF(AND($E19&gt;=$D19,$D19&lt;=P$8+6,$E19&gt;=P$8),1,""))</f>
        <v/>
      </c>
      <c r="Q19" s="16" t="str">
        <f aca="false">IF(OR($B19="",$D19="",$E19="",Q$8=""),"",IF(AND($E19&gt;=$D19,$D19&lt;=Q$8+6,$E19&gt;=Q$8),1,""))</f>
        <v/>
      </c>
      <c r="R19" s="16" t="str">
        <f aca="false">IF(OR($B19="",$D19="",$E19="",R$8=""),"",IF(AND($E19&gt;=$D19,$D19&lt;=R$8+6,$E19&gt;=R$8),1,""))</f>
        <v/>
      </c>
      <c r="S19" s="16" t="str">
        <f aca="false">IF(OR($B19="",$D19="",$E19="",S$8=""),"",IF(AND($E19&gt;=$D19,$D19&lt;=S$8+6,$E19&gt;=S$8),1,""))</f>
        <v/>
      </c>
      <c r="T19" s="16" t="str">
        <f aca="false">IF(OR($B19="",$D19="",$E19="",T$8=""),"",IF(AND($E19&gt;=$D19,$D19&lt;=T$8+6,$E19&gt;=T$8),1,""))</f>
        <v/>
      </c>
      <c r="U19" s="16" t="str">
        <f aca="false">IF(OR($B19="",$D19="",$E19="",U$8=""),"",IF(AND($E19&gt;=$D19,$D19&lt;=U$8+6,$E19&gt;=U$8),1,""))</f>
        <v/>
      </c>
      <c r="V19" s="16" t="str">
        <f aca="false">IF(OR($B19="",$D19="",$E19="",V$8=""),"",IF(AND($E19&gt;=$D19,$D19&lt;=V$8+6,$E19&gt;=V$8),1,""))</f>
        <v/>
      </c>
      <c r="W19" s="16" t="str">
        <f aca="false">IF(OR($B19="",$D19="",$E19="",W$8=""),"",IF(AND($E19&gt;=$D19,$D19&lt;=W$8+6,$E19&gt;=W$8),1,""))</f>
        <v/>
      </c>
      <c r="X19" s="16" t="str">
        <f aca="false">IF(OR($B19="",$D19="",$E19="",X$8=""),"",IF(AND($E19&gt;=$D19,$D19&lt;=X$8+6,$E19&gt;=X$8),1,""))</f>
        <v/>
      </c>
    </row>
    <row r="20" customFormat="false" ht="43" hidden="false" customHeight="true" outlineLevel="0" collapsed="false">
      <c r="A20" s="1"/>
      <c r="B20" s="13"/>
      <c r="C20" s="13"/>
      <c r="D20" s="14"/>
      <c r="E20" s="14"/>
      <c r="F20" s="15"/>
      <c r="G20" s="15"/>
      <c r="H20" s="13"/>
      <c r="I20" s="13"/>
      <c r="J20" s="13"/>
      <c r="K20" s="7" t="str">
        <f aca="false">IF(B20="","",IF(OR(D20="",E20=""),"Completar datas",IF(E20&lt;D20,"Rever datas",IF(AND(ISNUMBER($G$5),E20&lt;$G$5,F20&lt;&gt;"Concluído"),"Revisar prazo",""))))</f>
        <v/>
      </c>
      <c r="L20" s="1"/>
      <c r="M20" s="16" t="str">
        <f aca="false">IF(OR($B20="",$D20="",$E20="",M$8=""),"",IF(AND($E20&gt;=$D20,$D20&lt;=M$8+6,$E20&gt;=M$8),1,""))</f>
        <v/>
      </c>
      <c r="N20" s="16" t="str">
        <f aca="false">IF(OR($B20="",$D20="",$E20="",N$8=""),"",IF(AND($E20&gt;=$D20,$D20&lt;=N$8+6,$E20&gt;=N$8),1,""))</f>
        <v/>
      </c>
      <c r="O20" s="16" t="str">
        <f aca="false">IF(OR($B20="",$D20="",$E20="",O$8=""),"",IF(AND($E20&gt;=$D20,$D20&lt;=O$8+6,$E20&gt;=O$8),1,""))</f>
        <v/>
      </c>
      <c r="P20" s="16" t="str">
        <f aca="false">IF(OR($B20="",$D20="",$E20="",P$8=""),"",IF(AND($E20&gt;=$D20,$D20&lt;=P$8+6,$E20&gt;=P$8),1,""))</f>
        <v/>
      </c>
      <c r="Q20" s="16" t="str">
        <f aca="false">IF(OR($B20="",$D20="",$E20="",Q$8=""),"",IF(AND($E20&gt;=$D20,$D20&lt;=Q$8+6,$E20&gt;=Q$8),1,""))</f>
        <v/>
      </c>
      <c r="R20" s="16" t="str">
        <f aca="false">IF(OR($B20="",$D20="",$E20="",R$8=""),"",IF(AND($E20&gt;=$D20,$D20&lt;=R$8+6,$E20&gt;=R$8),1,""))</f>
        <v/>
      </c>
      <c r="S20" s="16" t="str">
        <f aca="false">IF(OR($B20="",$D20="",$E20="",S$8=""),"",IF(AND($E20&gt;=$D20,$D20&lt;=S$8+6,$E20&gt;=S$8),1,""))</f>
        <v/>
      </c>
      <c r="T20" s="16" t="str">
        <f aca="false">IF(OR($B20="",$D20="",$E20="",T$8=""),"",IF(AND($E20&gt;=$D20,$D20&lt;=T$8+6,$E20&gt;=T$8),1,""))</f>
        <v/>
      </c>
      <c r="U20" s="16" t="str">
        <f aca="false">IF(OR($B20="",$D20="",$E20="",U$8=""),"",IF(AND($E20&gt;=$D20,$D20&lt;=U$8+6,$E20&gt;=U$8),1,""))</f>
        <v/>
      </c>
      <c r="V20" s="16" t="str">
        <f aca="false">IF(OR($B20="",$D20="",$E20="",V$8=""),"",IF(AND($E20&gt;=$D20,$D20&lt;=V$8+6,$E20&gt;=V$8),1,""))</f>
        <v/>
      </c>
      <c r="W20" s="16" t="str">
        <f aca="false">IF(OR($B20="",$D20="",$E20="",W$8=""),"",IF(AND($E20&gt;=$D20,$D20&lt;=W$8+6,$E20&gt;=W$8),1,""))</f>
        <v/>
      </c>
      <c r="X20" s="16" t="str">
        <f aca="false">IF(OR($B20="",$D20="",$E20="",X$8=""),"",IF(AND($E20&gt;=$D20,$D20&lt;=X$8+6,$E20&gt;=X$8),1,""))</f>
        <v/>
      </c>
    </row>
    <row r="21" customFormat="false" ht="43" hidden="false" customHeight="true" outlineLevel="0" collapsed="false">
      <c r="A21" s="1"/>
      <c r="B21" s="13"/>
      <c r="C21" s="13"/>
      <c r="D21" s="14"/>
      <c r="E21" s="14"/>
      <c r="F21" s="15"/>
      <c r="G21" s="15"/>
      <c r="H21" s="13"/>
      <c r="I21" s="13"/>
      <c r="J21" s="13"/>
      <c r="K21" s="7" t="str">
        <f aca="false">IF(B21="","",IF(OR(D21="",E21=""),"Completar datas",IF(E21&lt;D21,"Rever datas",IF(AND(ISNUMBER($G$5),E21&lt;$G$5,F21&lt;&gt;"Concluído"),"Revisar prazo",""))))</f>
        <v/>
      </c>
      <c r="L21" s="1"/>
      <c r="M21" s="16" t="str">
        <f aca="false">IF(OR($B21="",$D21="",$E21="",M$8=""),"",IF(AND($E21&gt;=$D21,$D21&lt;=M$8+6,$E21&gt;=M$8),1,""))</f>
        <v/>
      </c>
      <c r="N21" s="16" t="str">
        <f aca="false">IF(OR($B21="",$D21="",$E21="",N$8=""),"",IF(AND($E21&gt;=$D21,$D21&lt;=N$8+6,$E21&gt;=N$8),1,""))</f>
        <v/>
      </c>
      <c r="O21" s="16" t="str">
        <f aca="false">IF(OR($B21="",$D21="",$E21="",O$8=""),"",IF(AND($E21&gt;=$D21,$D21&lt;=O$8+6,$E21&gt;=O$8),1,""))</f>
        <v/>
      </c>
      <c r="P21" s="16" t="str">
        <f aca="false">IF(OR($B21="",$D21="",$E21="",P$8=""),"",IF(AND($E21&gt;=$D21,$D21&lt;=P$8+6,$E21&gt;=P$8),1,""))</f>
        <v/>
      </c>
      <c r="Q21" s="16" t="str">
        <f aca="false">IF(OR($B21="",$D21="",$E21="",Q$8=""),"",IF(AND($E21&gt;=$D21,$D21&lt;=Q$8+6,$E21&gt;=Q$8),1,""))</f>
        <v/>
      </c>
      <c r="R21" s="16" t="str">
        <f aca="false">IF(OR($B21="",$D21="",$E21="",R$8=""),"",IF(AND($E21&gt;=$D21,$D21&lt;=R$8+6,$E21&gt;=R$8),1,""))</f>
        <v/>
      </c>
      <c r="S21" s="16" t="str">
        <f aca="false">IF(OR($B21="",$D21="",$E21="",S$8=""),"",IF(AND($E21&gt;=$D21,$D21&lt;=S$8+6,$E21&gt;=S$8),1,""))</f>
        <v/>
      </c>
      <c r="T21" s="16" t="str">
        <f aca="false">IF(OR($B21="",$D21="",$E21="",T$8=""),"",IF(AND($E21&gt;=$D21,$D21&lt;=T$8+6,$E21&gt;=T$8),1,""))</f>
        <v/>
      </c>
      <c r="U21" s="16" t="str">
        <f aca="false">IF(OR($B21="",$D21="",$E21="",U$8=""),"",IF(AND($E21&gt;=$D21,$D21&lt;=U$8+6,$E21&gt;=U$8),1,""))</f>
        <v/>
      </c>
      <c r="V21" s="16" t="str">
        <f aca="false">IF(OR($B21="",$D21="",$E21="",V$8=""),"",IF(AND($E21&gt;=$D21,$D21&lt;=V$8+6,$E21&gt;=V$8),1,""))</f>
        <v/>
      </c>
      <c r="W21" s="16" t="str">
        <f aca="false">IF(OR($B21="",$D21="",$E21="",W$8=""),"",IF(AND($E21&gt;=$D21,$D21&lt;=W$8+6,$E21&gt;=W$8),1,""))</f>
        <v/>
      </c>
      <c r="X21" s="16" t="str">
        <f aca="false">IF(OR($B21="",$D21="",$E21="",X$8=""),"",IF(AND($E21&gt;=$D21,$D21&lt;=X$8+6,$E21&gt;=X$8),1,""))</f>
        <v/>
      </c>
    </row>
    <row r="22" customFormat="false" ht="21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customFormat="false" ht="21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customFormat="false" ht="21" hidden="false" customHeight="true" outlineLevel="0" collapsed="false">
      <c r="A24" s="1"/>
      <c r="B24" s="17" t="s">
        <v>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customFormat="false" ht="21" hidden="false" customHeight="true" outlineLevel="0" collapsed="false">
      <c r="A25" s="1"/>
      <c r="B25" s="9" t="s">
        <v>54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customFormat="false" ht="21" hidden="false" customHeight="true" outlineLevel="0" collapsed="false">
      <c r="A26" s="1"/>
      <c r="B26" s="9" t="s">
        <v>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customFormat="false" ht="21" hidden="false" customHeight="true" outlineLevel="0" collapsed="false">
      <c r="A27" s="1"/>
      <c r="B27" s="9" t="s">
        <v>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customFormat="false" ht="21" hidden="false" customHeight="true" outlineLevel="0" collapsed="false">
      <c r="A28" s="1"/>
      <c r="B28" s="9" t="s">
        <v>57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customFormat="false" ht="21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</sheetData>
  <conditionalFormatting sqref="F10:F21">
    <cfRule type="expression" priority="2" aboveAverage="0" equalAverage="0" bottom="0" percent="0" rank="0" text="" dxfId="120">
      <formula>$F10="A fazer"</formula>
    </cfRule>
    <cfRule type="expression" priority="3" aboveAverage="0" equalAverage="0" bottom="0" percent="0" rank="0" text="" dxfId="121">
      <formula>$F10="Em andamento"</formula>
    </cfRule>
    <cfRule type="expression" priority="4" aboveAverage="0" equalAverage="0" bottom="0" percent="0" rank="0" text="" dxfId="122">
      <formula>$F10="Em validação"</formula>
    </cfRule>
    <cfRule type="expression" priority="5" aboveAverage="0" equalAverage="0" bottom="0" percent="0" rank="0" text="" dxfId="123">
      <formula>$F10="Concluído"</formula>
    </cfRule>
    <cfRule type="expression" priority="6" aboveAverage="0" equalAverage="0" bottom="0" percent="0" rank="0" text="" dxfId="124">
      <formula>$F10="Bloqueado"</formula>
    </cfRule>
    <cfRule type="expression" priority="7" aboveAverage="0" equalAverage="0" bottom="0" percent="0" rank="0" text="" dxfId="125">
      <formula>$F10="Pausado"</formula>
    </cfRule>
  </conditionalFormatting>
  <conditionalFormatting sqref="M10:X21">
    <cfRule type="expression" priority="8" aboveAverage="0" equalAverage="0" bottom="0" percent="0" rank="0" text="" dxfId="126">
      <formula>AND(M10=1,$F10="A fazer")</formula>
    </cfRule>
    <cfRule type="expression" priority="9" aboveAverage="0" equalAverage="0" bottom="0" percent="0" rank="0" text="" dxfId="127">
      <formula>AND(M10=1,$F10="Em andamento")</formula>
    </cfRule>
    <cfRule type="expression" priority="10" aboveAverage="0" equalAverage="0" bottom="0" percent="0" rank="0" text="" dxfId="128">
      <formula>AND(M10=1,$F10="Em validação")</formula>
    </cfRule>
    <cfRule type="expression" priority="11" aboveAverage="0" equalAverage="0" bottom="0" percent="0" rank="0" text="" dxfId="129">
      <formula>AND(M10=1,$F10="Concluído")</formula>
    </cfRule>
    <cfRule type="expression" priority="12" aboveAverage="0" equalAverage="0" bottom="0" percent="0" rank="0" text="" dxfId="130">
      <formula>AND(M10=1,$F10="Bloqueado")</formula>
    </cfRule>
    <cfRule type="expression" priority="13" aboveAverage="0" equalAverage="0" bottom="0" percent="0" rank="0" text="" dxfId="131">
      <formula>AND(M10=1,$F10="Pausado")</formula>
    </cfRule>
    <cfRule type="expression" priority="14" aboveAverage="0" equalAverage="0" bottom="0" percent="0" rank="0" text="" dxfId="132">
      <formula>AND(M10=1,$F10="")</formula>
    </cfRule>
  </conditionalFormatting>
  <conditionalFormatting sqref="K10:K21">
    <cfRule type="containsText" priority="15" operator="containsText" aboveAverage="0" equalAverage="0" bottom="0" percent="0" rank="0" text="Rever datas" dxfId="133">
      <formula>NOT(ISERROR(SEARCH("Rever datas",K10)))</formula>
    </cfRule>
    <cfRule type="containsText" priority="16" operator="containsText" aboveAverage="0" equalAverage="0" bottom="0" percent="0" rank="0" text="Revisar" dxfId="134">
      <formula>NOT(ISERROR(SEARCH("Revisar",K10)))</formula>
    </cfRule>
  </conditionalFormatting>
  <dataValidations count="2">
    <dataValidation allowBlank="false" error="Selecione um dos seis status disponíveis no menu." errorStyle="stop" errorTitle="Escolha um status" operator="between" showDropDown="false" showErrorMessage="true" showInputMessage="false" sqref="F10:F21" type="list">
      <formula1>"A fazer,Em andamento,Em validação,Concluído,Bloqueado,Pausado"</formula1>
      <formula2>0</formula2>
    </dataValidation>
    <dataValidation allowBlank="false" error="Selecione Alta, Média ou Baixa no menu." errorStyle="stop" errorTitle="Escolha uma prioridade" operator="between" showDropDown="false" showErrorMessage="true" showInputMessage="false" sqref="G10:G21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EBBC0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7.22"/>
    <col collapsed="false" customWidth="true" hidden="false" outlineLevel="0" max="3" min="3" style="0" width="15"/>
    <col collapsed="false" customWidth="true" hidden="false" outlineLevel="0" max="5" min="4" style="0" width="11.78"/>
    <col collapsed="false" customWidth="true" hidden="false" outlineLevel="0" max="6" min="6" style="0" width="15"/>
    <col collapsed="false" customWidth="true" hidden="false" outlineLevel="0" max="7" min="7" style="0" width="11.78"/>
    <col collapsed="false" customWidth="true" hidden="false" outlineLevel="0" max="8" min="8" style="0" width="12.78"/>
    <col collapsed="false" customWidth="true" hidden="false" outlineLevel="0" max="9" min="9" style="0" width="26.11"/>
    <col collapsed="false" customWidth="true" hidden="false" outlineLevel="0" max="10" min="10" style="0" width="27.22"/>
    <col collapsed="false" customWidth="true" hidden="false" outlineLevel="0" max="11" min="11" style="0" width="18.34"/>
    <col collapsed="false" customWidth="true" hidden="false" outlineLevel="0" max="12" min="12" style="0" width="2"/>
    <col collapsed="false" customWidth="true" hidden="false" outlineLevel="0" max="18" min="13" style="0" width="12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" hidden="false" customHeight="true" outlineLevel="0" collapsed="false">
      <c r="A2" s="1"/>
      <c r="B2" s="2" t="s">
        <v>13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21" hidden="false" customHeight="true" outlineLevel="0" collapsed="false">
      <c r="A3" s="1"/>
      <c r="B3" s="19" t="s">
        <v>98</v>
      </c>
      <c r="C3" s="1"/>
      <c r="D3" s="1"/>
      <c r="E3" s="1"/>
      <c r="F3" s="1"/>
      <c r="G3" s="1"/>
      <c r="H3" s="1"/>
      <c r="I3" s="9" t="s">
        <v>78</v>
      </c>
      <c r="J3" s="1"/>
      <c r="K3" s="1"/>
      <c r="L3" s="1"/>
      <c r="M3" s="1"/>
      <c r="N3" s="1"/>
      <c r="O3" s="1"/>
      <c r="P3" s="1"/>
      <c r="Q3" s="1"/>
      <c r="R3" s="1"/>
    </row>
    <row r="4" customFormat="false" ht="2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1" hidden="false" customHeight="true" outlineLevel="0" collapsed="false">
      <c r="A5" s="1"/>
      <c r="B5" s="1" t="s">
        <v>34</v>
      </c>
      <c r="C5" s="11" t="n">
        <v>46419</v>
      </c>
      <c r="D5" s="1"/>
      <c r="E5" s="1"/>
      <c r="F5" s="1" t="s">
        <v>35</v>
      </c>
      <c r="G5" s="11" t="n">
        <v>46447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Format="false" ht="21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Format="false" ht="21" hidden="false" customHeight="true" outlineLevel="0" collapsed="false">
      <c r="A7" s="1"/>
      <c r="B7" s="9" t="s">
        <v>36</v>
      </c>
      <c r="C7" s="9"/>
      <c r="D7" s="9"/>
      <c r="E7" s="9"/>
      <c r="F7" s="9" t="s">
        <v>37</v>
      </c>
      <c r="G7" s="9"/>
      <c r="H7" s="9"/>
      <c r="I7" s="9"/>
      <c r="J7" s="9" t="s">
        <v>99</v>
      </c>
      <c r="K7" s="9"/>
      <c r="L7" s="1"/>
      <c r="M7" s="1"/>
      <c r="N7" s="1"/>
      <c r="O7" s="1"/>
      <c r="P7" s="1"/>
      <c r="Q7" s="1"/>
      <c r="R7" s="1"/>
    </row>
    <row r="8" customFormat="false" ht="21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2" t="n">
        <f aca="false">IF($C$5="","",$C$5+0)</f>
        <v>46419</v>
      </c>
      <c r="N8" s="12" t="n">
        <f aca="false">IF($C$5="","",$C$5+15)</f>
        <v>46434</v>
      </c>
      <c r="O8" s="12" t="n">
        <f aca="false">IF($C$5="","",$C$5+30)</f>
        <v>46449</v>
      </c>
      <c r="P8" s="12" t="n">
        <f aca="false">IF($C$5="","",$C$5+45)</f>
        <v>46464</v>
      </c>
      <c r="Q8" s="12" t="n">
        <f aca="false">IF($C$5="","",$C$5+60)</f>
        <v>46479</v>
      </c>
      <c r="R8" s="12" t="n">
        <f aca="false">IF($C$5="","",$C$5+75)</f>
        <v>46494</v>
      </c>
    </row>
    <row r="9" customFormat="false" ht="36" hidden="false" customHeight="true" outlineLevel="0" collapsed="false">
      <c r="A9" s="1"/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47</v>
      </c>
      <c r="K9" s="4" t="s">
        <v>48</v>
      </c>
      <c r="L9" s="1"/>
      <c r="M9" s="4" t="s">
        <v>79</v>
      </c>
      <c r="N9" s="4" t="s">
        <v>80</v>
      </c>
      <c r="O9" s="4" t="s">
        <v>81</v>
      </c>
      <c r="P9" s="4" t="s">
        <v>82</v>
      </c>
      <c r="Q9" s="4" t="s">
        <v>83</v>
      </c>
      <c r="R9" s="4" t="s">
        <v>84</v>
      </c>
    </row>
    <row r="10" customFormat="false" ht="43" hidden="false" customHeight="true" outlineLevel="0" collapsed="false">
      <c r="A10" s="1"/>
      <c r="B10" s="13" t="s">
        <v>172</v>
      </c>
      <c r="C10" s="13" t="s">
        <v>13</v>
      </c>
      <c r="D10" s="14" t="n">
        <v>46419</v>
      </c>
      <c r="E10" s="14" t="n">
        <v>46433</v>
      </c>
      <c r="F10" s="15" t="s">
        <v>102</v>
      </c>
      <c r="G10" s="15" t="s">
        <v>103</v>
      </c>
      <c r="H10" s="13"/>
      <c r="I10" s="13" t="s">
        <v>173</v>
      </c>
      <c r="J10" s="13" t="s">
        <v>174</v>
      </c>
      <c r="K10" s="7" t="str">
        <f aca="false">IF(B10="","",IF(OR(D10="",E10=""),"Completar datas",IF(E10&lt;D10,"Rever datas",IF(AND(ISNUMBER($G$5),E10&lt;$G$5,F10&lt;&gt;"Concluído"),"Revisar prazo",""))))</f>
        <v/>
      </c>
      <c r="L10" s="1"/>
      <c r="M10" s="16" t="n">
        <f aca="false">IF(OR($B10="",$D10="",$E10="",M$8=""),"",IF(AND($E10&gt;=$D10,$D10&lt;=M$8+14,$E10&gt;=M$8),1,""))</f>
        <v>1</v>
      </c>
      <c r="N10" s="16" t="str">
        <f aca="false">IF(OR($B10="",$D10="",$E10="",N$8=""),"",IF(AND($E10&gt;=$D10,$D10&lt;=N$8+14,$E10&gt;=N$8),1,""))</f>
        <v/>
      </c>
      <c r="O10" s="16" t="str">
        <f aca="false">IF(OR($B10="",$D10="",$E10="",O$8=""),"",IF(AND($E10&gt;=$D10,$D10&lt;=O$8+14,$E10&gt;=O$8),1,""))</f>
        <v/>
      </c>
      <c r="P10" s="16" t="str">
        <f aca="false">IF(OR($B10="",$D10="",$E10="",P$8=""),"",IF(AND($E10&gt;=$D10,$D10&lt;=P$8+14,$E10&gt;=P$8),1,""))</f>
        <v/>
      </c>
      <c r="Q10" s="16" t="str">
        <f aca="false">IF(OR($B10="",$D10="",$E10="",Q$8=""),"",IF(AND($E10&gt;=$D10,$D10&lt;=Q$8+14,$E10&gt;=Q$8),1,""))</f>
        <v/>
      </c>
      <c r="R10" s="16" t="str">
        <f aca="false">IF(OR($B10="",$D10="",$E10="",R$8=""),"",IF(AND($E10&gt;=$D10,$D10&lt;=R$8+14,$E10&gt;=R$8),1,""))</f>
        <v/>
      </c>
    </row>
    <row r="11" customFormat="false" ht="43" hidden="false" customHeight="true" outlineLevel="0" collapsed="false">
      <c r="A11" s="1"/>
      <c r="B11" s="13" t="s">
        <v>175</v>
      </c>
      <c r="C11" s="13" t="s">
        <v>176</v>
      </c>
      <c r="D11" s="14" t="n">
        <v>46434</v>
      </c>
      <c r="E11" s="14" t="n">
        <v>46448</v>
      </c>
      <c r="F11" s="15" t="s">
        <v>108</v>
      </c>
      <c r="G11" s="15" t="s">
        <v>103</v>
      </c>
      <c r="H11" s="13" t="s">
        <v>177</v>
      </c>
      <c r="I11" s="13" t="s">
        <v>178</v>
      </c>
      <c r="J11" s="13" t="s">
        <v>179</v>
      </c>
      <c r="K11" s="7" t="str">
        <f aca="false">IF(B11="","",IF(OR(D11="",E11=""),"Completar datas",IF(E11&lt;D11,"Rever datas",IF(AND(ISNUMBER($G$5),E11&lt;$G$5,F11&lt;&gt;"Concluído"),"Revisar prazo",""))))</f>
        <v/>
      </c>
      <c r="L11" s="1"/>
      <c r="M11" s="16" t="str">
        <f aca="false">IF(OR($B11="",$D11="",$E11="",M$8=""),"",IF(AND($E11&gt;=$D11,$D11&lt;=M$8+14,$E11&gt;=M$8),1,""))</f>
        <v/>
      </c>
      <c r="N11" s="16" t="n">
        <f aca="false">IF(OR($B11="",$D11="",$E11="",N$8=""),"",IF(AND($E11&gt;=$D11,$D11&lt;=N$8+14,$E11&gt;=N$8),1,""))</f>
        <v>1</v>
      </c>
      <c r="O11" s="16" t="str">
        <f aca="false">IF(OR($B11="",$D11="",$E11="",O$8=""),"",IF(AND($E11&gt;=$D11,$D11&lt;=O$8+14,$E11&gt;=O$8),1,""))</f>
        <v/>
      </c>
      <c r="P11" s="16" t="str">
        <f aca="false">IF(OR($B11="",$D11="",$E11="",P$8=""),"",IF(AND($E11&gt;=$D11,$D11&lt;=P$8+14,$E11&gt;=P$8),1,""))</f>
        <v/>
      </c>
      <c r="Q11" s="16" t="str">
        <f aca="false">IF(OR($B11="",$D11="",$E11="",Q$8=""),"",IF(AND($E11&gt;=$D11,$D11&lt;=Q$8+14,$E11&gt;=Q$8),1,""))</f>
        <v/>
      </c>
      <c r="R11" s="16" t="str">
        <f aca="false">IF(OR($B11="",$D11="",$E11="",R$8=""),"",IF(AND($E11&gt;=$D11,$D11&lt;=R$8+14,$E11&gt;=R$8),1,""))</f>
        <v/>
      </c>
    </row>
    <row r="12" customFormat="false" ht="43" hidden="false" customHeight="true" outlineLevel="0" collapsed="false">
      <c r="A12" s="1"/>
      <c r="B12" s="13" t="s">
        <v>180</v>
      </c>
      <c r="C12" s="13" t="s">
        <v>13</v>
      </c>
      <c r="D12" s="14" t="n">
        <v>46449</v>
      </c>
      <c r="E12" s="14" t="n">
        <v>46466</v>
      </c>
      <c r="F12" s="15" t="s">
        <v>114</v>
      </c>
      <c r="G12" s="15" t="s">
        <v>103</v>
      </c>
      <c r="H12" s="13" t="s">
        <v>181</v>
      </c>
      <c r="I12" s="13" t="s">
        <v>182</v>
      </c>
      <c r="J12" s="13" t="s">
        <v>183</v>
      </c>
      <c r="K12" s="7" t="str">
        <f aca="false">IF(B12="","",IF(OR(D12="",E12=""),"Completar datas",IF(E12&lt;D12,"Rever datas",IF(AND(ISNUMBER($G$5),E12&lt;$G$5,F12&lt;&gt;"Concluído"),"Revisar prazo",""))))</f>
        <v/>
      </c>
      <c r="L12" s="1"/>
      <c r="M12" s="16" t="str">
        <f aca="false">IF(OR($B12="",$D12="",$E12="",M$8=""),"",IF(AND($E12&gt;=$D12,$D12&lt;=M$8+14,$E12&gt;=M$8),1,""))</f>
        <v/>
      </c>
      <c r="N12" s="16" t="str">
        <f aca="false">IF(OR($B12="",$D12="",$E12="",N$8=""),"",IF(AND($E12&gt;=$D12,$D12&lt;=N$8+14,$E12&gt;=N$8),1,""))</f>
        <v/>
      </c>
      <c r="O12" s="16" t="n">
        <f aca="false">IF(OR($B12="",$D12="",$E12="",O$8=""),"",IF(AND($E12&gt;=$D12,$D12&lt;=O$8+14,$E12&gt;=O$8),1,""))</f>
        <v>1</v>
      </c>
      <c r="P12" s="16" t="n">
        <f aca="false">IF(OR($B12="",$D12="",$E12="",P$8=""),"",IF(AND($E12&gt;=$D12,$D12&lt;=P$8+14,$E12&gt;=P$8),1,""))</f>
        <v>1</v>
      </c>
      <c r="Q12" s="16" t="str">
        <f aca="false">IF(OR($B12="",$D12="",$E12="",Q$8=""),"",IF(AND($E12&gt;=$D12,$D12&lt;=Q$8+14,$E12&gt;=Q$8),1,""))</f>
        <v/>
      </c>
      <c r="R12" s="16" t="str">
        <f aca="false">IF(OR($B12="",$D12="",$E12="",R$8=""),"",IF(AND($E12&gt;=$D12,$D12&lt;=R$8+14,$E12&gt;=R$8),1,""))</f>
        <v/>
      </c>
    </row>
    <row r="13" customFormat="false" ht="43" hidden="false" customHeight="true" outlineLevel="0" collapsed="false">
      <c r="A13" s="1"/>
      <c r="B13" s="13" t="s">
        <v>184</v>
      </c>
      <c r="C13" s="13" t="s">
        <v>185</v>
      </c>
      <c r="D13" s="14" t="n">
        <v>46467</v>
      </c>
      <c r="E13" s="14" t="n">
        <v>46487</v>
      </c>
      <c r="F13" s="15" t="s">
        <v>114</v>
      </c>
      <c r="G13" s="15" t="s">
        <v>120</v>
      </c>
      <c r="H13" s="13" t="s">
        <v>186</v>
      </c>
      <c r="I13" s="13" t="s">
        <v>187</v>
      </c>
      <c r="J13" s="13" t="s">
        <v>188</v>
      </c>
      <c r="K13" s="7" t="str">
        <f aca="false">IF(B13="","",IF(OR(D13="",E13=""),"Completar datas",IF(E13&lt;D13,"Rever datas",IF(AND(ISNUMBER($G$5),E13&lt;$G$5,F13&lt;&gt;"Concluído"),"Revisar prazo",""))))</f>
        <v/>
      </c>
      <c r="L13" s="1"/>
      <c r="M13" s="16" t="str">
        <f aca="false">IF(OR($B13="",$D13="",$E13="",M$8=""),"",IF(AND($E13&gt;=$D13,$D13&lt;=M$8+14,$E13&gt;=M$8),1,""))</f>
        <v/>
      </c>
      <c r="N13" s="16" t="str">
        <f aca="false">IF(OR($B13="",$D13="",$E13="",N$8=""),"",IF(AND($E13&gt;=$D13,$D13&lt;=N$8+14,$E13&gt;=N$8),1,""))</f>
        <v/>
      </c>
      <c r="O13" s="16" t="str">
        <f aca="false">IF(OR($B13="",$D13="",$E13="",O$8=""),"",IF(AND($E13&gt;=$D13,$D13&lt;=O$8+14,$E13&gt;=O$8),1,""))</f>
        <v/>
      </c>
      <c r="P13" s="16" t="n">
        <f aca="false">IF(OR($B13="",$D13="",$E13="",P$8=""),"",IF(AND($E13&gt;=$D13,$D13&lt;=P$8+14,$E13&gt;=P$8),1,""))</f>
        <v>1</v>
      </c>
      <c r="Q13" s="16" t="n">
        <f aca="false">IF(OR($B13="",$D13="",$E13="",Q$8=""),"",IF(AND($E13&gt;=$D13,$D13&lt;=Q$8+14,$E13&gt;=Q$8),1,""))</f>
        <v>1</v>
      </c>
      <c r="R13" s="16" t="str">
        <f aca="false">IF(OR($B13="",$D13="",$E13="",R$8=""),"",IF(AND($E13&gt;=$D13,$D13&lt;=R$8+14,$E13&gt;=R$8),1,""))</f>
        <v/>
      </c>
    </row>
    <row r="14" customFormat="false" ht="43" hidden="false" customHeight="true" outlineLevel="0" collapsed="false">
      <c r="A14" s="1"/>
      <c r="B14" s="13" t="s">
        <v>189</v>
      </c>
      <c r="C14" s="13" t="s">
        <v>190</v>
      </c>
      <c r="D14" s="14" t="n">
        <v>46488</v>
      </c>
      <c r="E14" s="14" t="n">
        <v>46508</v>
      </c>
      <c r="F14" s="15" t="s">
        <v>114</v>
      </c>
      <c r="G14" s="15" t="s">
        <v>120</v>
      </c>
      <c r="H14" s="13" t="s">
        <v>191</v>
      </c>
      <c r="I14" s="13" t="s">
        <v>192</v>
      </c>
      <c r="J14" s="13" t="s">
        <v>193</v>
      </c>
      <c r="K14" s="7" t="str">
        <f aca="false">IF(B14="","",IF(OR(D14="",E14=""),"Completar datas",IF(E14&lt;D14,"Rever datas",IF(AND(ISNUMBER($G$5),E14&lt;$G$5,F14&lt;&gt;"Concluído"),"Revisar prazo",""))))</f>
        <v/>
      </c>
      <c r="L14" s="1"/>
      <c r="M14" s="16" t="str">
        <f aca="false">IF(OR($B14="",$D14="",$E14="",M$8=""),"",IF(AND($E14&gt;=$D14,$D14&lt;=M$8+14,$E14&gt;=M$8),1,""))</f>
        <v/>
      </c>
      <c r="N14" s="16" t="str">
        <f aca="false">IF(OR($B14="",$D14="",$E14="",N$8=""),"",IF(AND($E14&gt;=$D14,$D14&lt;=N$8+14,$E14&gt;=N$8),1,""))</f>
        <v/>
      </c>
      <c r="O14" s="16" t="str">
        <f aca="false">IF(OR($B14="",$D14="",$E14="",O$8=""),"",IF(AND($E14&gt;=$D14,$D14&lt;=O$8+14,$E14&gt;=O$8),1,""))</f>
        <v/>
      </c>
      <c r="P14" s="16" t="str">
        <f aca="false">IF(OR($B14="",$D14="",$E14="",P$8=""),"",IF(AND($E14&gt;=$D14,$D14&lt;=P$8+14,$E14&gt;=P$8),1,""))</f>
        <v/>
      </c>
      <c r="Q14" s="16" t="n">
        <f aca="false">IF(OR($B14="",$D14="",$E14="",Q$8=""),"",IF(AND($E14&gt;=$D14,$D14&lt;=Q$8+14,$E14&gt;=Q$8),1,""))</f>
        <v>1</v>
      </c>
      <c r="R14" s="16" t="n">
        <f aca="false">IF(OR($B14="",$D14="",$E14="",R$8=""),"",IF(AND($E14&gt;=$D14,$D14&lt;=R$8+14,$E14&gt;=R$8),1,""))</f>
        <v>1</v>
      </c>
    </row>
    <row r="15" customFormat="false" ht="43" hidden="false" customHeight="true" outlineLevel="0" collapsed="false">
      <c r="A15" s="1"/>
      <c r="B15" s="13"/>
      <c r="C15" s="13"/>
      <c r="D15" s="14"/>
      <c r="E15" s="14"/>
      <c r="F15" s="15"/>
      <c r="G15" s="15"/>
      <c r="H15" s="13"/>
      <c r="I15" s="13"/>
      <c r="J15" s="13"/>
      <c r="K15" s="7" t="str">
        <f aca="false">IF(B15="","",IF(OR(D15="",E15=""),"Completar datas",IF(E15&lt;D15,"Rever datas",IF(AND(ISNUMBER($G$5),E15&lt;$G$5,F15&lt;&gt;"Concluído"),"Revisar prazo",""))))</f>
        <v/>
      </c>
      <c r="L15" s="1"/>
      <c r="M15" s="16" t="str">
        <f aca="false">IF(OR($B15="",$D15="",$E15="",M$8=""),"",IF(AND($E15&gt;=$D15,$D15&lt;=M$8+14,$E15&gt;=M$8),1,""))</f>
        <v/>
      </c>
      <c r="N15" s="16" t="str">
        <f aca="false">IF(OR($B15="",$D15="",$E15="",N$8=""),"",IF(AND($E15&gt;=$D15,$D15&lt;=N$8+14,$E15&gt;=N$8),1,""))</f>
        <v/>
      </c>
      <c r="O15" s="16" t="str">
        <f aca="false">IF(OR($B15="",$D15="",$E15="",O$8=""),"",IF(AND($E15&gt;=$D15,$D15&lt;=O$8+14,$E15&gt;=O$8),1,""))</f>
        <v/>
      </c>
      <c r="P15" s="16" t="str">
        <f aca="false">IF(OR($B15="",$D15="",$E15="",P$8=""),"",IF(AND($E15&gt;=$D15,$D15&lt;=P$8+14,$E15&gt;=P$8),1,""))</f>
        <v/>
      </c>
      <c r="Q15" s="16" t="str">
        <f aca="false">IF(OR($B15="",$D15="",$E15="",Q$8=""),"",IF(AND($E15&gt;=$D15,$D15&lt;=Q$8+14,$E15&gt;=Q$8),1,""))</f>
        <v/>
      </c>
      <c r="R15" s="16" t="str">
        <f aca="false">IF(OR($B15="",$D15="",$E15="",R$8=""),"",IF(AND($E15&gt;=$D15,$D15&lt;=R$8+14,$E15&gt;=R$8),1,""))</f>
        <v/>
      </c>
    </row>
    <row r="16" customFormat="false" ht="43" hidden="false" customHeight="true" outlineLevel="0" collapsed="false">
      <c r="A16" s="1"/>
      <c r="B16" s="13"/>
      <c r="C16" s="13"/>
      <c r="D16" s="14"/>
      <c r="E16" s="14"/>
      <c r="F16" s="15"/>
      <c r="G16" s="15"/>
      <c r="H16" s="13"/>
      <c r="I16" s="13"/>
      <c r="J16" s="13"/>
      <c r="K16" s="7" t="str">
        <f aca="false">IF(B16="","",IF(OR(D16="",E16=""),"Completar datas",IF(E16&lt;D16,"Rever datas",IF(AND(ISNUMBER($G$5),E16&lt;$G$5,F16&lt;&gt;"Concluído"),"Revisar prazo",""))))</f>
        <v/>
      </c>
      <c r="L16" s="1"/>
      <c r="M16" s="16" t="str">
        <f aca="false">IF(OR($B16="",$D16="",$E16="",M$8=""),"",IF(AND($E16&gt;=$D16,$D16&lt;=M$8+14,$E16&gt;=M$8),1,""))</f>
        <v/>
      </c>
      <c r="N16" s="16" t="str">
        <f aca="false">IF(OR($B16="",$D16="",$E16="",N$8=""),"",IF(AND($E16&gt;=$D16,$D16&lt;=N$8+14,$E16&gt;=N$8),1,""))</f>
        <v/>
      </c>
      <c r="O16" s="16" t="str">
        <f aca="false">IF(OR($B16="",$D16="",$E16="",O$8=""),"",IF(AND($E16&gt;=$D16,$D16&lt;=O$8+14,$E16&gt;=O$8),1,""))</f>
        <v/>
      </c>
      <c r="P16" s="16" t="str">
        <f aca="false">IF(OR($B16="",$D16="",$E16="",P$8=""),"",IF(AND($E16&gt;=$D16,$D16&lt;=P$8+14,$E16&gt;=P$8),1,""))</f>
        <v/>
      </c>
      <c r="Q16" s="16" t="str">
        <f aca="false">IF(OR($B16="",$D16="",$E16="",Q$8=""),"",IF(AND($E16&gt;=$D16,$D16&lt;=Q$8+14,$E16&gt;=Q$8),1,""))</f>
        <v/>
      </c>
      <c r="R16" s="16" t="str">
        <f aca="false">IF(OR($B16="",$D16="",$E16="",R$8=""),"",IF(AND($E16&gt;=$D16,$D16&lt;=R$8+14,$E16&gt;=R$8),1,""))</f>
        <v/>
      </c>
    </row>
    <row r="17" customFormat="false" ht="43" hidden="false" customHeight="true" outlineLevel="0" collapsed="false">
      <c r="A17" s="1"/>
      <c r="B17" s="13"/>
      <c r="C17" s="13"/>
      <c r="D17" s="14"/>
      <c r="E17" s="14"/>
      <c r="F17" s="15"/>
      <c r="G17" s="15"/>
      <c r="H17" s="13"/>
      <c r="I17" s="13"/>
      <c r="J17" s="13"/>
      <c r="K17" s="7" t="str">
        <f aca="false">IF(B17="","",IF(OR(D17="",E17=""),"Completar datas",IF(E17&lt;D17,"Rever datas",IF(AND(ISNUMBER($G$5),E17&lt;$G$5,F17&lt;&gt;"Concluído"),"Revisar prazo",""))))</f>
        <v/>
      </c>
      <c r="L17" s="1"/>
      <c r="M17" s="16" t="str">
        <f aca="false">IF(OR($B17="",$D17="",$E17="",M$8=""),"",IF(AND($E17&gt;=$D17,$D17&lt;=M$8+14,$E17&gt;=M$8),1,""))</f>
        <v/>
      </c>
      <c r="N17" s="16" t="str">
        <f aca="false">IF(OR($B17="",$D17="",$E17="",N$8=""),"",IF(AND($E17&gt;=$D17,$D17&lt;=N$8+14,$E17&gt;=N$8),1,""))</f>
        <v/>
      </c>
      <c r="O17" s="16" t="str">
        <f aca="false">IF(OR($B17="",$D17="",$E17="",O$8=""),"",IF(AND($E17&gt;=$D17,$D17&lt;=O$8+14,$E17&gt;=O$8),1,""))</f>
        <v/>
      </c>
      <c r="P17" s="16" t="str">
        <f aca="false">IF(OR($B17="",$D17="",$E17="",P$8=""),"",IF(AND($E17&gt;=$D17,$D17&lt;=P$8+14,$E17&gt;=P$8),1,""))</f>
        <v/>
      </c>
      <c r="Q17" s="16" t="str">
        <f aca="false">IF(OR($B17="",$D17="",$E17="",Q$8=""),"",IF(AND($E17&gt;=$D17,$D17&lt;=Q$8+14,$E17&gt;=Q$8),1,""))</f>
        <v/>
      </c>
      <c r="R17" s="16" t="str">
        <f aca="false">IF(OR($B17="",$D17="",$E17="",R$8=""),"",IF(AND($E17&gt;=$D17,$D17&lt;=R$8+14,$E17&gt;=R$8),1,""))</f>
        <v/>
      </c>
    </row>
    <row r="18" customFormat="false" ht="43" hidden="false" customHeight="true" outlineLevel="0" collapsed="false">
      <c r="A18" s="1"/>
      <c r="B18" s="13"/>
      <c r="C18" s="13"/>
      <c r="D18" s="14"/>
      <c r="E18" s="14"/>
      <c r="F18" s="15"/>
      <c r="G18" s="15"/>
      <c r="H18" s="13"/>
      <c r="I18" s="13"/>
      <c r="J18" s="13"/>
      <c r="K18" s="7" t="str">
        <f aca="false">IF(B18="","",IF(OR(D18="",E18=""),"Completar datas",IF(E18&lt;D18,"Rever datas",IF(AND(ISNUMBER($G$5),E18&lt;$G$5,F18&lt;&gt;"Concluído"),"Revisar prazo",""))))</f>
        <v/>
      </c>
      <c r="L18" s="1"/>
      <c r="M18" s="16" t="str">
        <f aca="false">IF(OR($B18="",$D18="",$E18="",M$8=""),"",IF(AND($E18&gt;=$D18,$D18&lt;=M$8+14,$E18&gt;=M$8),1,""))</f>
        <v/>
      </c>
      <c r="N18" s="16" t="str">
        <f aca="false">IF(OR($B18="",$D18="",$E18="",N$8=""),"",IF(AND($E18&gt;=$D18,$D18&lt;=N$8+14,$E18&gt;=N$8),1,""))</f>
        <v/>
      </c>
      <c r="O18" s="16" t="str">
        <f aca="false">IF(OR($B18="",$D18="",$E18="",O$8=""),"",IF(AND($E18&gt;=$D18,$D18&lt;=O$8+14,$E18&gt;=O$8),1,""))</f>
        <v/>
      </c>
      <c r="P18" s="16" t="str">
        <f aca="false">IF(OR($B18="",$D18="",$E18="",P$8=""),"",IF(AND($E18&gt;=$D18,$D18&lt;=P$8+14,$E18&gt;=P$8),1,""))</f>
        <v/>
      </c>
      <c r="Q18" s="16" t="str">
        <f aca="false">IF(OR($B18="",$D18="",$E18="",Q$8=""),"",IF(AND($E18&gt;=$D18,$D18&lt;=Q$8+14,$E18&gt;=Q$8),1,""))</f>
        <v/>
      </c>
      <c r="R18" s="16" t="str">
        <f aca="false">IF(OR($B18="",$D18="",$E18="",R$8=""),"",IF(AND($E18&gt;=$D18,$D18&lt;=R$8+14,$E18&gt;=R$8),1,""))</f>
        <v/>
      </c>
    </row>
    <row r="19" customFormat="false" ht="43" hidden="false" customHeight="true" outlineLevel="0" collapsed="false">
      <c r="A19" s="1"/>
      <c r="B19" s="13"/>
      <c r="C19" s="13"/>
      <c r="D19" s="14"/>
      <c r="E19" s="14"/>
      <c r="F19" s="15"/>
      <c r="G19" s="15"/>
      <c r="H19" s="13"/>
      <c r="I19" s="13"/>
      <c r="J19" s="13"/>
      <c r="K19" s="7" t="str">
        <f aca="false">IF(B19="","",IF(OR(D19="",E19=""),"Completar datas",IF(E19&lt;D19,"Rever datas",IF(AND(ISNUMBER($G$5),E19&lt;$G$5,F19&lt;&gt;"Concluído"),"Revisar prazo",""))))</f>
        <v/>
      </c>
      <c r="L19" s="1"/>
      <c r="M19" s="16" t="str">
        <f aca="false">IF(OR($B19="",$D19="",$E19="",M$8=""),"",IF(AND($E19&gt;=$D19,$D19&lt;=M$8+14,$E19&gt;=M$8),1,""))</f>
        <v/>
      </c>
      <c r="N19" s="16" t="str">
        <f aca="false">IF(OR($B19="",$D19="",$E19="",N$8=""),"",IF(AND($E19&gt;=$D19,$D19&lt;=N$8+14,$E19&gt;=N$8),1,""))</f>
        <v/>
      </c>
      <c r="O19" s="16" t="str">
        <f aca="false">IF(OR($B19="",$D19="",$E19="",O$8=""),"",IF(AND($E19&gt;=$D19,$D19&lt;=O$8+14,$E19&gt;=O$8),1,""))</f>
        <v/>
      </c>
      <c r="P19" s="16" t="str">
        <f aca="false">IF(OR($B19="",$D19="",$E19="",P$8=""),"",IF(AND($E19&gt;=$D19,$D19&lt;=P$8+14,$E19&gt;=P$8),1,""))</f>
        <v/>
      </c>
      <c r="Q19" s="16" t="str">
        <f aca="false">IF(OR($B19="",$D19="",$E19="",Q$8=""),"",IF(AND($E19&gt;=$D19,$D19&lt;=Q$8+14,$E19&gt;=Q$8),1,""))</f>
        <v/>
      </c>
      <c r="R19" s="16" t="str">
        <f aca="false">IF(OR($B19="",$D19="",$E19="",R$8=""),"",IF(AND($E19&gt;=$D19,$D19&lt;=R$8+14,$E19&gt;=R$8),1,""))</f>
        <v/>
      </c>
    </row>
    <row r="20" customFormat="false" ht="43" hidden="false" customHeight="true" outlineLevel="0" collapsed="false">
      <c r="A20" s="1"/>
      <c r="B20" s="13"/>
      <c r="C20" s="13"/>
      <c r="D20" s="14"/>
      <c r="E20" s="14"/>
      <c r="F20" s="15"/>
      <c r="G20" s="15"/>
      <c r="H20" s="13"/>
      <c r="I20" s="13"/>
      <c r="J20" s="13"/>
      <c r="K20" s="7" t="str">
        <f aca="false">IF(B20="","",IF(OR(D20="",E20=""),"Completar datas",IF(E20&lt;D20,"Rever datas",IF(AND(ISNUMBER($G$5),E20&lt;$G$5,F20&lt;&gt;"Concluído"),"Revisar prazo",""))))</f>
        <v/>
      </c>
      <c r="L20" s="1"/>
      <c r="M20" s="16" t="str">
        <f aca="false">IF(OR($B20="",$D20="",$E20="",M$8=""),"",IF(AND($E20&gt;=$D20,$D20&lt;=M$8+14,$E20&gt;=M$8),1,""))</f>
        <v/>
      </c>
      <c r="N20" s="16" t="str">
        <f aca="false">IF(OR($B20="",$D20="",$E20="",N$8=""),"",IF(AND($E20&gt;=$D20,$D20&lt;=N$8+14,$E20&gt;=N$8),1,""))</f>
        <v/>
      </c>
      <c r="O20" s="16" t="str">
        <f aca="false">IF(OR($B20="",$D20="",$E20="",O$8=""),"",IF(AND($E20&gt;=$D20,$D20&lt;=O$8+14,$E20&gt;=O$8),1,""))</f>
        <v/>
      </c>
      <c r="P20" s="16" t="str">
        <f aca="false">IF(OR($B20="",$D20="",$E20="",P$8=""),"",IF(AND($E20&gt;=$D20,$D20&lt;=P$8+14,$E20&gt;=P$8),1,""))</f>
        <v/>
      </c>
      <c r="Q20" s="16" t="str">
        <f aca="false">IF(OR($B20="",$D20="",$E20="",Q$8=""),"",IF(AND($E20&gt;=$D20,$D20&lt;=Q$8+14,$E20&gt;=Q$8),1,""))</f>
        <v/>
      </c>
      <c r="R20" s="16" t="str">
        <f aca="false">IF(OR($B20="",$D20="",$E20="",R$8=""),"",IF(AND($E20&gt;=$D20,$D20&lt;=R$8+14,$E20&gt;=R$8),1,""))</f>
        <v/>
      </c>
    </row>
    <row r="21" customFormat="false" ht="43" hidden="false" customHeight="true" outlineLevel="0" collapsed="false">
      <c r="A21" s="1"/>
      <c r="B21" s="13"/>
      <c r="C21" s="13"/>
      <c r="D21" s="14"/>
      <c r="E21" s="14"/>
      <c r="F21" s="15"/>
      <c r="G21" s="15"/>
      <c r="H21" s="13"/>
      <c r="I21" s="13"/>
      <c r="J21" s="13"/>
      <c r="K21" s="7" t="str">
        <f aca="false">IF(B21="","",IF(OR(D21="",E21=""),"Completar datas",IF(E21&lt;D21,"Rever datas",IF(AND(ISNUMBER($G$5),E21&lt;$G$5,F21&lt;&gt;"Concluído"),"Revisar prazo",""))))</f>
        <v/>
      </c>
      <c r="L21" s="1"/>
      <c r="M21" s="16" t="str">
        <f aca="false">IF(OR($B21="",$D21="",$E21="",M$8=""),"",IF(AND($E21&gt;=$D21,$D21&lt;=M$8+14,$E21&gt;=M$8),1,""))</f>
        <v/>
      </c>
      <c r="N21" s="16" t="str">
        <f aca="false">IF(OR($B21="",$D21="",$E21="",N$8=""),"",IF(AND($E21&gt;=$D21,$D21&lt;=N$8+14,$E21&gt;=N$8),1,""))</f>
        <v/>
      </c>
      <c r="O21" s="16" t="str">
        <f aca="false">IF(OR($B21="",$D21="",$E21="",O$8=""),"",IF(AND($E21&gt;=$D21,$D21&lt;=O$8+14,$E21&gt;=O$8),1,""))</f>
        <v/>
      </c>
      <c r="P21" s="16" t="str">
        <f aca="false">IF(OR($B21="",$D21="",$E21="",P$8=""),"",IF(AND($E21&gt;=$D21,$D21&lt;=P$8+14,$E21&gt;=P$8),1,""))</f>
        <v/>
      </c>
      <c r="Q21" s="16" t="str">
        <f aca="false">IF(OR($B21="",$D21="",$E21="",Q$8=""),"",IF(AND($E21&gt;=$D21,$D21&lt;=Q$8+14,$E21&gt;=Q$8),1,""))</f>
        <v/>
      </c>
      <c r="R21" s="16" t="str">
        <f aca="false">IF(OR($B21="",$D21="",$E21="",R$8=""),"",IF(AND($E21&gt;=$D21,$D21&lt;=R$8+14,$E21&gt;=R$8),1,""))</f>
        <v/>
      </c>
    </row>
    <row r="22" customFormat="false" ht="21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21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21" hidden="false" customHeight="true" outlineLevel="0" collapsed="false">
      <c r="A24" s="1"/>
      <c r="B24" s="17" t="s">
        <v>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21" hidden="false" customHeight="true" outlineLevel="0" collapsed="false">
      <c r="A25" s="1"/>
      <c r="B25" s="9" t="s">
        <v>54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21" hidden="false" customHeight="true" outlineLevel="0" collapsed="false">
      <c r="A26" s="1"/>
      <c r="B26" s="9" t="s">
        <v>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21" hidden="false" customHeight="true" outlineLevel="0" collapsed="false">
      <c r="A27" s="1"/>
      <c r="B27" s="9" t="s">
        <v>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21" hidden="false" customHeight="true" outlineLevel="0" collapsed="false">
      <c r="A28" s="1"/>
      <c r="B28" s="9" t="s">
        <v>57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21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conditionalFormatting sqref="F10:F21">
    <cfRule type="expression" priority="2" aboveAverage="0" equalAverage="0" bottom="0" percent="0" rank="0" text="" dxfId="135">
      <formula>$F10="A fazer"</formula>
    </cfRule>
    <cfRule type="expression" priority="3" aboveAverage="0" equalAverage="0" bottom="0" percent="0" rank="0" text="" dxfId="136">
      <formula>$F10="Em andamento"</formula>
    </cfRule>
    <cfRule type="expression" priority="4" aboveAverage="0" equalAverage="0" bottom="0" percent="0" rank="0" text="" dxfId="137">
      <formula>$F10="Em validação"</formula>
    </cfRule>
    <cfRule type="expression" priority="5" aboveAverage="0" equalAverage="0" bottom="0" percent="0" rank="0" text="" dxfId="138">
      <formula>$F10="Concluído"</formula>
    </cfRule>
    <cfRule type="expression" priority="6" aboveAverage="0" equalAverage="0" bottom="0" percent="0" rank="0" text="" dxfId="139">
      <formula>$F10="Bloqueado"</formula>
    </cfRule>
    <cfRule type="expression" priority="7" aboveAverage="0" equalAverage="0" bottom="0" percent="0" rank="0" text="" dxfId="140">
      <formula>$F10="Pausado"</formula>
    </cfRule>
  </conditionalFormatting>
  <conditionalFormatting sqref="M10:R21">
    <cfRule type="expression" priority="8" aboveAverage="0" equalAverage="0" bottom="0" percent="0" rank="0" text="" dxfId="141">
      <formula>AND(M10=1,$F10="A fazer")</formula>
    </cfRule>
    <cfRule type="expression" priority="9" aboveAverage="0" equalAverage="0" bottom="0" percent="0" rank="0" text="" dxfId="142">
      <formula>AND(M10=1,$F10="Em andamento")</formula>
    </cfRule>
    <cfRule type="expression" priority="10" aboveAverage="0" equalAverage="0" bottom="0" percent="0" rank="0" text="" dxfId="143">
      <formula>AND(M10=1,$F10="Em validação")</formula>
    </cfRule>
    <cfRule type="expression" priority="11" aboveAverage="0" equalAverage="0" bottom="0" percent="0" rank="0" text="" dxfId="144">
      <formula>AND(M10=1,$F10="Concluído")</formula>
    </cfRule>
    <cfRule type="expression" priority="12" aboveAverage="0" equalAverage="0" bottom="0" percent="0" rank="0" text="" dxfId="145">
      <formula>AND(M10=1,$F10="Bloqueado")</formula>
    </cfRule>
    <cfRule type="expression" priority="13" aboveAverage="0" equalAverage="0" bottom="0" percent="0" rank="0" text="" dxfId="146">
      <formula>AND(M10=1,$F10="Pausado")</formula>
    </cfRule>
    <cfRule type="expression" priority="14" aboveAverage="0" equalAverage="0" bottom="0" percent="0" rank="0" text="" dxfId="147">
      <formula>AND(M10=1,$F10="")</formula>
    </cfRule>
  </conditionalFormatting>
  <conditionalFormatting sqref="K10:K21">
    <cfRule type="containsText" priority="15" operator="containsText" aboveAverage="0" equalAverage="0" bottom="0" percent="0" rank="0" text="Rever datas" dxfId="148">
      <formula>NOT(ISERROR(SEARCH("Rever datas",K10)))</formula>
    </cfRule>
    <cfRule type="containsText" priority="16" operator="containsText" aboveAverage="0" equalAverage="0" bottom="0" percent="0" rank="0" text="Revisar" dxfId="149">
      <formula>NOT(ISERROR(SEARCH("Revisar",K10)))</formula>
    </cfRule>
  </conditionalFormatting>
  <dataValidations count="2">
    <dataValidation allowBlank="false" error="Selecione um dos seis status disponíveis no menu." errorStyle="stop" errorTitle="Escolha um status" operator="between" showDropDown="false" showErrorMessage="true" showInputMessage="false" sqref="F10:F21" type="list">
      <formula1>"A fazer,Em andamento,Em validação,Concluído,Bloqueado,Pausado"</formula1>
      <formula2>0</formula2>
    </dataValidation>
    <dataValidation allowBlank="false" error="Selecione Alta, Média ou Baixa no menu." errorStyle="stop" errorTitle="Escolha uma prioridade" operator="between" showDropDown="false" showErrorMessage="true" showInputMessage="false" sqref="G10:G21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EBBC0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7.22"/>
    <col collapsed="false" customWidth="true" hidden="false" outlineLevel="0" max="3" min="3" style="0" width="15"/>
    <col collapsed="false" customWidth="true" hidden="false" outlineLevel="0" max="5" min="4" style="0" width="11.78"/>
    <col collapsed="false" customWidth="true" hidden="false" outlineLevel="0" max="6" min="6" style="0" width="15"/>
    <col collapsed="false" customWidth="true" hidden="false" outlineLevel="0" max="7" min="7" style="0" width="11.78"/>
    <col collapsed="false" customWidth="true" hidden="false" outlineLevel="0" max="8" min="8" style="0" width="12.78"/>
    <col collapsed="false" customWidth="true" hidden="false" outlineLevel="0" max="9" min="9" style="0" width="26.11"/>
    <col collapsed="false" customWidth="true" hidden="false" outlineLevel="0" max="10" min="10" style="0" width="27.22"/>
    <col collapsed="false" customWidth="true" hidden="false" outlineLevel="0" max="11" min="11" style="0" width="18.34"/>
    <col collapsed="false" customWidth="true" hidden="false" outlineLevel="0" max="12" min="12" style="0" width="2"/>
    <col collapsed="false" customWidth="true" hidden="false" outlineLevel="0" max="18" min="13" style="0" width="12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" hidden="false" customHeight="true" outlineLevel="0" collapsed="false">
      <c r="A2" s="1"/>
      <c r="B2" s="2" t="s">
        <v>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21" hidden="false" customHeight="true" outlineLevel="0" collapsed="false">
      <c r="A3" s="1"/>
      <c r="B3" s="19" t="s">
        <v>98</v>
      </c>
      <c r="C3" s="1"/>
      <c r="D3" s="1"/>
      <c r="E3" s="1"/>
      <c r="F3" s="1"/>
      <c r="G3" s="1"/>
      <c r="H3" s="1"/>
      <c r="I3" s="9" t="s">
        <v>85</v>
      </c>
      <c r="J3" s="1"/>
      <c r="K3" s="1"/>
      <c r="L3" s="1"/>
      <c r="M3" s="1"/>
      <c r="N3" s="1"/>
      <c r="O3" s="1"/>
      <c r="P3" s="1"/>
      <c r="Q3" s="1"/>
      <c r="R3" s="1"/>
    </row>
    <row r="4" customFormat="false" ht="2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1" hidden="false" customHeight="true" outlineLevel="0" collapsed="false">
      <c r="A5" s="1"/>
      <c r="B5" s="1" t="s">
        <v>34</v>
      </c>
      <c r="C5" s="11" t="n">
        <v>46419</v>
      </c>
      <c r="D5" s="1"/>
      <c r="E5" s="1"/>
      <c r="F5" s="1" t="s">
        <v>35</v>
      </c>
      <c r="G5" s="11" t="n">
        <v>46447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Format="false" ht="21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Format="false" ht="21" hidden="false" customHeight="true" outlineLevel="0" collapsed="false">
      <c r="A7" s="1"/>
      <c r="B7" s="9" t="s">
        <v>36</v>
      </c>
      <c r="C7" s="9"/>
      <c r="D7" s="9"/>
      <c r="E7" s="9"/>
      <c r="F7" s="9" t="s">
        <v>37</v>
      </c>
      <c r="G7" s="9"/>
      <c r="H7" s="9"/>
      <c r="I7" s="9"/>
      <c r="J7" s="9" t="s">
        <v>99</v>
      </c>
      <c r="K7" s="9"/>
      <c r="L7" s="1"/>
      <c r="M7" s="1"/>
      <c r="N7" s="1"/>
      <c r="O7" s="1"/>
      <c r="P7" s="1"/>
      <c r="Q7" s="1"/>
      <c r="R7" s="1"/>
    </row>
    <row r="8" customFormat="false" ht="21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2" t="n">
        <f aca="false">IF($C$5="","",EDATE($C$5,0))</f>
        <v>46419</v>
      </c>
      <c r="N8" s="12" t="n">
        <f aca="false">IF($C$5="","",EDATE($C$5,1))</f>
        <v>46447</v>
      </c>
      <c r="O8" s="12" t="n">
        <f aca="false">IF($C$5="","",EDATE($C$5,2))</f>
        <v>46478</v>
      </c>
      <c r="P8" s="12" t="n">
        <f aca="false">IF($C$5="","",EDATE($C$5,3))</f>
        <v>46508</v>
      </c>
      <c r="Q8" s="12" t="n">
        <f aca="false">IF($C$5="","",EDATE($C$5,4))</f>
        <v>46539</v>
      </c>
      <c r="R8" s="12" t="n">
        <f aca="false">IF($C$5="","",EDATE($C$5,5))</f>
        <v>46569</v>
      </c>
    </row>
    <row r="9" customFormat="false" ht="36" hidden="false" customHeight="true" outlineLevel="0" collapsed="false">
      <c r="A9" s="1"/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47</v>
      </c>
      <c r="K9" s="4" t="s">
        <v>48</v>
      </c>
      <c r="L9" s="1"/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4" t="s">
        <v>64</v>
      </c>
    </row>
    <row r="10" customFormat="false" ht="43" hidden="false" customHeight="true" outlineLevel="0" collapsed="false">
      <c r="A10" s="1"/>
      <c r="B10" s="13" t="s">
        <v>194</v>
      </c>
      <c r="C10" s="13" t="s">
        <v>195</v>
      </c>
      <c r="D10" s="14" t="n">
        <v>46419</v>
      </c>
      <c r="E10" s="14" t="n">
        <v>46446</v>
      </c>
      <c r="F10" s="15" t="s">
        <v>102</v>
      </c>
      <c r="G10" s="15" t="s">
        <v>103</v>
      </c>
      <c r="H10" s="13"/>
      <c r="I10" s="13" t="s">
        <v>196</v>
      </c>
      <c r="J10" s="13" t="s">
        <v>197</v>
      </c>
      <c r="K10" s="7" t="str">
        <f aca="false">IF(B10="","",IF(OR(D10="",E10=""),"Completar datas",IF(E10&lt;D10,"Rever datas",IF(AND(ISNUMBER($G$5),E10&lt;$G$5,F10&lt;&gt;"Concluído"),"Revisar prazo",""))))</f>
        <v/>
      </c>
      <c r="L10" s="1"/>
      <c r="M10" s="16" t="n">
        <f aca="false">IF(OR($B10="",$D10="",$E10="",M$8=""),"",IF(AND($E10&gt;=$D10,$D10&lt;=EDATE(M$8,1)-1,$E10&gt;=M$8),1,""))</f>
        <v>1</v>
      </c>
      <c r="N10" s="16" t="str">
        <f aca="false">IF(OR($B10="",$D10="",$E10="",N$8=""),"",IF(AND($E10&gt;=$D10,$D10&lt;=EDATE(N$8,1)-1,$E10&gt;=N$8),1,""))</f>
        <v/>
      </c>
      <c r="O10" s="16" t="str">
        <f aca="false">IF(OR($B10="",$D10="",$E10="",O$8=""),"",IF(AND($E10&gt;=$D10,$D10&lt;=EDATE(O$8,1)-1,$E10&gt;=O$8),1,""))</f>
        <v/>
      </c>
      <c r="P10" s="16" t="str">
        <f aca="false">IF(OR($B10="",$D10="",$E10="",P$8=""),"",IF(AND($E10&gt;=$D10,$D10&lt;=EDATE(P$8,1)-1,$E10&gt;=P$8),1,""))</f>
        <v/>
      </c>
      <c r="Q10" s="16" t="str">
        <f aca="false">IF(OR($B10="",$D10="",$E10="",Q$8=""),"",IF(AND($E10&gt;=$D10,$D10&lt;=EDATE(Q$8,1)-1,$E10&gt;=Q$8),1,""))</f>
        <v/>
      </c>
      <c r="R10" s="16" t="str">
        <f aca="false">IF(OR($B10="",$D10="",$E10="",R$8=""),"",IF(AND($E10&gt;=$D10,$D10&lt;=EDATE(R$8,1)-1,$E10&gt;=R$8),1,""))</f>
        <v/>
      </c>
    </row>
    <row r="11" customFormat="false" ht="43" hidden="false" customHeight="true" outlineLevel="0" collapsed="false">
      <c r="A11" s="1"/>
      <c r="B11" s="13" t="s">
        <v>198</v>
      </c>
      <c r="C11" s="13" t="s">
        <v>199</v>
      </c>
      <c r="D11" s="14" t="n">
        <v>46447</v>
      </c>
      <c r="E11" s="14" t="n">
        <v>46477</v>
      </c>
      <c r="F11" s="15" t="s">
        <v>108</v>
      </c>
      <c r="G11" s="15" t="s">
        <v>103</v>
      </c>
      <c r="H11" s="13" t="s">
        <v>200</v>
      </c>
      <c r="I11" s="13" t="s">
        <v>201</v>
      </c>
      <c r="J11" s="13" t="s">
        <v>202</v>
      </c>
      <c r="K11" s="7" t="str">
        <f aca="false">IF(B11="","",IF(OR(D11="",E11=""),"Completar datas",IF(E11&lt;D11,"Rever datas",IF(AND(ISNUMBER($G$5),E11&lt;$G$5,F11&lt;&gt;"Concluído"),"Revisar prazo",""))))</f>
        <v/>
      </c>
      <c r="L11" s="1"/>
      <c r="M11" s="16" t="str">
        <f aca="false">IF(OR($B11="",$D11="",$E11="",M$8=""),"",IF(AND($E11&gt;=$D11,$D11&lt;=EDATE(M$8,1)-1,$E11&gt;=M$8),1,""))</f>
        <v/>
      </c>
      <c r="N11" s="16" t="n">
        <f aca="false">IF(OR($B11="",$D11="",$E11="",N$8=""),"",IF(AND($E11&gt;=$D11,$D11&lt;=EDATE(N$8,1)-1,$E11&gt;=N$8),1,""))</f>
        <v>1</v>
      </c>
      <c r="O11" s="16" t="str">
        <f aca="false">IF(OR($B11="",$D11="",$E11="",O$8=""),"",IF(AND($E11&gt;=$D11,$D11&lt;=EDATE(O$8,1)-1,$E11&gt;=O$8),1,""))</f>
        <v/>
      </c>
      <c r="P11" s="16" t="str">
        <f aca="false">IF(OR($B11="",$D11="",$E11="",P$8=""),"",IF(AND($E11&gt;=$D11,$D11&lt;=EDATE(P$8,1)-1,$E11&gt;=P$8),1,""))</f>
        <v/>
      </c>
      <c r="Q11" s="16" t="str">
        <f aca="false">IF(OR($B11="",$D11="",$E11="",Q$8=""),"",IF(AND($E11&gt;=$D11,$D11&lt;=EDATE(Q$8,1)-1,$E11&gt;=Q$8),1,""))</f>
        <v/>
      </c>
      <c r="R11" s="16" t="str">
        <f aca="false">IF(OR($B11="",$D11="",$E11="",R$8=""),"",IF(AND($E11&gt;=$D11,$D11&lt;=EDATE(R$8,1)-1,$E11&gt;=R$8),1,""))</f>
        <v/>
      </c>
    </row>
    <row r="12" customFormat="false" ht="43" hidden="false" customHeight="true" outlineLevel="0" collapsed="false">
      <c r="A12" s="1"/>
      <c r="B12" s="13" t="s">
        <v>203</v>
      </c>
      <c r="C12" s="13" t="s">
        <v>204</v>
      </c>
      <c r="D12" s="14" t="n">
        <v>46478</v>
      </c>
      <c r="E12" s="14" t="n">
        <v>46522</v>
      </c>
      <c r="F12" s="15" t="s">
        <v>114</v>
      </c>
      <c r="G12" s="15" t="s">
        <v>103</v>
      </c>
      <c r="H12" s="13" t="s">
        <v>205</v>
      </c>
      <c r="I12" s="13" t="s">
        <v>206</v>
      </c>
      <c r="J12" s="13" t="s">
        <v>207</v>
      </c>
      <c r="K12" s="7" t="str">
        <f aca="false">IF(B12="","",IF(OR(D12="",E12=""),"Completar datas",IF(E12&lt;D12,"Rever datas",IF(AND(ISNUMBER($G$5),E12&lt;$G$5,F12&lt;&gt;"Concluído"),"Revisar prazo",""))))</f>
        <v/>
      </c>
      <c r="L12" s="1"/>
      <c r="M12" s="16" t="str">
        <f aca="false">IF(OR($B12="",$D12="",$E12="",M$8=""),"",IF(AND($E12&gt;=$D12,$D12&lt;=EDATE(M$8,1)-1,$E12&gt;=M$8),1,""))</f>
        <v/>
      </c>
      <c r="N12" s="16" t="str">
        <f aca="false">IF(OR($B12="",$D12="",$E12="",N$8=""),"",IF(AND($E12&gt;=$D12,$D12&lt;=EDATE(N$8,1)-1,$E12&gt;=N$8),1,""))</f>
        <v/>
      </c>
      <c r="O12" s="16" t="n">
        <f aca="false">IF(OR($B12="",$D12="",$E12="",O$8=""),"",IF(AND($E12&gt;=$D12,$D12&lt;=EDATE(O$8,1)-1,$E12&gt;=O$8),1,""))</f>
        <v>1</v>
      </c>
      <c r="P12" s="16" t="n">
        <f aca="false">IF(OR($B12="",$D12="",$E12="",P$8=""),"",IF(AND($E12&gt;=$D12,$D12&lt;=EDATE(P$8,1)-1,$E12&gt;=P$8),1,""))</f>
        <v>1</v>
      </c>
      <c r="Q12" s="16" t="str">
        <f aca="false">IF(OR($B12="",$D12="",$E12="",Q$8=""),"",IF(AND($E12&gt;=$D12,$D12&lt;=EDATE(Q$8,1)-1,$E12&gt;=Q$8),1,""))</f>
        <v/>
      </c>
      <c r="R12" s="16" t="str">
        <f aca="false">IF(OR($B12="",$D12="",$E12="",R$8=""),"",IF(AND($E12&gt;=$D12,$D12&lt;=EDATE(R$8,1)-1,$E12&gt;=R$8),1,""))</f>
        <v/>
      </c>
    </row>
    <row r="13" customFormat="false" ht="43" hidden="false" customHeight="true" outlineLevel="0" collapsed="false">
      <c r="A13" s="1"/>
      <c r="B13" s="13" t="s">
        <v>208</v>
      </c>
      <c r="C13" s="13" t="s">
        <v>209</v>
      </c>
      <c r="D13" s="14" t="n">
        <v>46539</v>
      </c>
      <c r="E13" s="14" t="n">
        <v>46568</v>
      </c>
      <c r="F13" s="15" t="s">
        <v>114</v>
      </c>
      <c r="G13" s="15" t="s">
        <v>120</v>
      </c>
      <c r="H13" s="13" t="s">
        <v>210</v>
      </c>
      <c r="I13" s="13" t="s">
        <v>211</v>
      </c>
      <c r="J13" s="13" t="s">
        <v>212</v>
      </c>
      <c r="K13" s="7" t="str">
        <f aca="false">IF(B13="","",IF(OR(D13="",E13=""),"Completar datas",IF(E13&lt;D13,"Rever datas",IF(AND(ISNUMBER($G$5),E13&lt;$G$5,F13&lt;&gt;"Concluído"),"Revisar prazo",""))))</f>
        <v/>
      </c>
      <c r="L13" s="1"/>
      <c r="M13" s="16" t="str">
        <f aca="false">IF(OR($B13="",$D13="",$E13="",M$8=""),"",IF(AND($E13&gt;=$D13,$D13&lt;=EDATE(M$8,1)-1,$E13&gt;=M$8),1,""))</f>
        <v/>
      </c>
      <c r="N13" s="16" t="str">
        <f aca="false">IF(OR($B13="",$D13="",$E13="",N$8=""),"",IF(AND($E13&gt;=$D13,$D13&lt;=EDATE(N$8,1)-1,$E13&gt;=N$8),1,""))</f>
        <v/>
      </c>
      <c r="O13" s="16" t="str">
        <f aca="false">IF(OR($B13="",$D13="",$E13="",O$8=""),"",IF(AND($E13&gt;=$D13,$D13&lt;=EDATE(O$8,1)-1,$E13&gt;=O$8),1,""))</f>
        <v/>
      </c>
      <c r="P13" s="16" t="str">
        <f aca="false">IF(OR($B13="",$D13="",$E13="",P$8=""),"",IF(AND($E13&gt;=$D13,$D13&lt;=EDATE(P$8,1)-1,$E13&gt;=P$8),1,""))</f>
        <v/>
      </c>
      <c r="Q13" s="16" t="n">
        <f aca="false">IF(OR($B13="",$D13="",$E13="",Q$8=""),"",IF(AND($E13&gt;=$D13,$D13&lt;=EDATE(Q$8,1)-1,$E13&gt;=Q$8),1,""))</f>
        <v>1</v>
      </c>
      <c r="R13" s="16" t="str">
        <f aca="false">IF(OR($B13="",$D13="",$E13="",R$8=""),"",IF(AND($E13&gt;=$D13,$D13&lt;=EDATE(R$8,1)-1,$E13&gt;=R$8),1,""))</f>
        <v/>
      </c>
    </row>
    <row r="14" customFormat="false" ht="43" hidden="false" customHeight="true" outlineLevel="0" collapsed="false">
      <c r="A14" s="1"/>
      <c r="B14" s="13" t="s">
        <v>213</v>
      </c>
      <c r="C14" s="13" t="s">
        <v>199</v>
      </c>
      <c r="D14" s="14" t="n">
        <v>46569</v>
      </c>
      <c r="E14" s="14" t="n">
        <v>46599</v>
      </c>
      <c r="F14" s="15" t="s">
        <v>114</v>
      </c>
      <c r="G14" s="15" t="s">
        <v>120</v>
      </c>
      <c r="H14" s="13" t="s">
        <v>214</v>
      </c>
      <c r="I14" s="13" t="s">
        <v>215</v>
      </c>
      <c r="J14" s="13" t="s">
        <v>216</v>
      </c>
      <c r="K14" s="7" t="str">
        <f aca="false">IF(B14="","",IF(OR(D14="",E14=""),"Completar datas",IF(E14&lt;D14,"Rever datas",IF(AND(ISNUMBER($G$5),E14&lt;$G$5,F14&lt;&gt;"Concluído"),"Revisar prazo",""))))</f>
        <v/>
      </c>
      <c r="L14" s="1"/>
      <c r="M14" s="16" t="str">
        <f aca="false">IF(OR($B14="",$D14="",$E14="",M$8=""),"",IF(AND($E14&gt;=$D14,$D14&lt;=EDATE(M$8,1)-1,$E14&gt;=M$8),1,""))</f>
        <v/>
      </c>
      <c r="N14" s="16" t="str">
        <f aca="false">IF(OR($B14="",$D14="",$E14="",N$8=""),"",IF(AND($E14&gt;=$D14,$D14&lt;=EDATE(N$8,1)-1,$E14&gt;=N$8),1,""))</f>
        <v/>
      </c>
      <c r="O14" s="16" t="str">
        <f aca="false">IF(OR($B14="",$D14="",$E14="",O$8=""),"",IF(AND($E14&gt;=$D14,$D14&lt;=EDATE(O$8,1)-1,$E14&gt;=O$8),1,""))</f>
        <v/>
      </c>
      <c r="P14" s="16" t="str">
        <f aca="false">IF(OR($B14="",$D14="",$E14="",P$8=""),"",IF(AND($E14&gt;=$D14,$D14&lt;=EDATE(P$8,1)-1,$E14&gt;=P$8),1,""))</f>
        <v/>
      </c>
      <c r="Q14" s="16" t="str">
        <f aca="false">IF(OR($B14="",$D14="",$E14="",Q$8=""),"",IF(AND($E14&gt;=$D14,$D14&lt;=EDATE(Q$8,1)-1,$E14&gt;=Q$8),1,""))</f>
        <v/>
      </c>
      <c r="R14" s="16" t="n">
        <f aca="false">IF(OR($B14="",$D14="",$E14="",R$8=""),"",IF(AND($E14&gt;=$D14,$D14&lt;=EDATE(R$8,1)-1,$E14&gt;=R$8),1,""))</f>
        <v>1</v>
      </c>
    </row>
    <row r="15" customFormat="false" ht="43" hidden="false" customHeight="true" outlineLevel="0" collapsed="false">
      <c r="A15" s="1"/>
      <c r="B15" s="13"/>
      <c r="C15" s="13"/>
      <c r="D15" s="14"/>
      <c r="E15" s="14"/>
      <c r="F15" s="15"/>
      <c r="G15" s="15"/>
      <c r="H15" s="13"/>
      <c r="I15" s="13"/>
      <c r="J15" s="13"/>
      <c r="K15" s="7" t="str">
        <f aca="false">IF(B15="","",IF(OR(D15="",E15=""),"Completar datas",IF(E15&lt;D15,"Rever datas",IF(AND(ISNUMBER($G$5),E15&lt;$G$5,F15&lt;&gt;"Concluído"),"Revisar prazo",""))))</f>
        <v/>
      </c>
      <c r="L15" s="1"/>
      <c r="M15" s="16" t="str">
        <f aca="false">IF(OR($B15="",$D15="",$E15="",M$8=""),"",IF(AND($E15&gt;=$D15,$D15&lt;=EDATE(M$8,1)-1,$E15&gt;=M$8),1,""))</f>
        <v/>
      </c>
      <c r="N15" s="16" t="str">
        <f aca="false">IF(OR($B15="",$D15="",$E15="",N$8=""),"",IF(AND($E15&gt;=$D15,$D15&lt;=EDATE(N$8,1)-1,$E15&gt;=N$8),1,""))</f>
        <v/>
      </c>
      <c r="O15" s="16" t="str">
        <f aca="false">IF(OR($B15="",$D15="",$E15="",O$8=""),"",IF(AND($E15&gt;=$D15,$D15&lt;=EDATE(O$8,1)-1,$E15&gt;=O$8),1,""))</f>
        <v/>
      </c>
      <c r="P15" s="16" t="str">
        <f aca="false">IF(OR($B15="",$D15="",$E15="",P$8=""),"",IF(AND($E15&gt;=$D15,$D15&lt;=EDATE(P$8,1)-1,$E15&gt;=P$8),1,""))</f>
        <v/>
      </c>
      <c r="Q15" s="16" t="str">
        <f aca="false">IF(OR($B15="",$D15="",$E15="",Q$8=""),"",IF(AND($E15&gt;=$D15,$D15&lt;=EDATE(Q$8,1)-1,$E15&gt;=Q$8),1,""))</f>
        <v/>
      </c>
      <c r="R15" s="16" t="str">
        <f aca="false">IF(OR($B15="",$D15="",$E15="",R$8=""),"",IF(AND($E15&gt;=$D15,$D15&lt;=EDATE(R$8,1)-1,$E15&gt;=R$8),1,""))</f>
        <v/>
      </c>
    </row>
    <row r="16" customFormat="false" ht="43" hidden="false" customHeight="true" outlineLevel="0" collapsed="false">
      <c r="A16" s="1"/>
      <c r="B16" s="13"/>
      <c r="C16" s="13"/>
      <c r="D16" s="14"/>
      <c r="E16" s="14"/>
      <c r="F16" s="15"/>
      <c r="G16" s="15"/>
      <c r="H16" s="13"/>
      <c r="I16" s="13"/>
      <c r="J16" s="13"/>
      <c r="K16" s="7" t="str">
        <f aca="false">IF(B16="","",IF(OR(D16="",E16=""),"Completar datas",IF(E16&lt;D16,"Rever datas",IF(AND(ISNUMBER($G$5),E16&lt;$G$5,F16&lt;&gt;"Concluído"),"Revisar prazo",""))))</f>
        <v/>
      </c>
      <c r="L16" s="1"/>
      <c r="M16" s="16" t="str">
        <f aca="false">IF(OR($B16="",$D16="",$E16="",M$8=""),"",IF(AND($E16&gt;=$D16,$D16&lt;=EDATE(M$8,1)-1,$E16&gt;=M$8),1,""))</f>
        <v/>
      </c>
      <c r="N16" s="16" t="str">
        <f aca="false">IF(OR($B16="",$D16="",$E16="",N$8=""),"",IF(AND($E16&gt;=$D16,$D16&lt;=EDATE(N$8,1)-1,$E16&gt;=N$8),1,""))</f>
        <v/>
      </c>
      <c r="O16" s="16" t="str">
        <f aca="false">IF(OR($B16="",$D16="",$E16="",O$8=""),"",IF(AND($E16&gt;=$D16,$D16&lt;=EDATE(O$8,1)-1,$E16&gt;=O$8),1,""))</f>
        <v/>
      </c>
      <c r="P16" s="16" t="str">
        <f aca="false">IF(OR($B16="",$D16="",$E16="",P$8=""),"",IF(AND($E16&gt;=$D16,$D16&lt;=EDATE(P$8,1)-1,$E16&gt;=P$8),1,""))</f>
        <v/>
      </c>
      <c r="Q16" s="16" t="str">
        <f aca="false">IF(OR($B16="",$D16="",$E16="",Q$8=""),"",IF(AND($E16&gt;=$D16,$D16&lt;=EDATE(Q$8,1)-1,$E16&gt;=Q$8),1,""))</f>
        <v/>
      </c>
      <c r="R16" s="16" t="str">
        <f aca="false">IF(OR($B16="",$D16="",$E16="",R$8=""),"",IF(AND($E16&gt;=$D16,$D16&lt;=EDATE(R$8,1)-1,$E16&gt;=R$8),1,""))</f>
        <v/>
      </c>
    </row>
    <row r="17" customFormat="false" ht="43" hidden="false" customHeight="true" outlineLevel="0" collapsed="false">
      <c r="A17" s="1"/>
      <c r="B17" s="13"/>
      <c r="C17" s="13"/>
      <c r="D17" s="14"/>
      <c r="E17" s="14"/>
      <c r="F17" s="15"/>
      <c r="G17" s="15"/>
      <c r="H17" s="13"/>
      <c r="I17" s="13"/>
      <c r="J17" s="13"/>
      <c r="K17" s="7" t="str">
        <f aca="false">IF(B17="","",IF(OR(D17="",E17=""),"Completar datas",IF(E17&lt;D17,"Rever datas",IF(AND(ISNUMBER($G$5),E17&lt;$G$5,F17&lt;&gt;"Concluído"),"Revisar prazo",""))))</f>
        <v/>
      </c>
      <c r="L17" s="1"/>
      <c r="M17" s="16" t="str">
        <f aca="false">IF(OR($B17="",$D17="",$E17="",M$8=""),"",IF(AND($E17&gt;=$D17,$D17&lt;=EDATE(M$8,1)-1,$E17&gt;=M$8),1,""))</f>
        <v/>
      </c>
      <c r="N17" s="16" t="str">
        <f aca="false">IF(OR($B17="",$D17="",$E17="",N$8=""),"",IF(AND($E17&gt;=$D17,$D17&lt;=EDATE(N$8,1)-1,$E17&gt;=N$8),1,""))</f>
        <v/>
      </c>
      <c r="O17" s="16" t="str">
        <f aca="false">IF(OR($B17="",$D17="",$E17="",O$8=""),"",IF(AND($E17&gt;=$D17,$D17&lt;=EDATE(O$8,1)-1,$E17&gt;=O$8),1,""))</f>
        <v/>
      </c>
      <c r="P17" s="16" t="str">
        <f aca="false">IF(OR($B17="",$D17="",$E17="",P$8=""),"",IF(AND($E17&gt;=$D17,$D17&lt;=EDATE(P$8,1)-1,$E17&gt;=P$8),1,""))</f>
        <v/>
      </c>
      <c r="Q17" s="16" t="str">
        <f aca="false">IF(OR($B17="",$D17="",$E17="",Q$8=""),"",IF(AND($E17&gt;=$D17,$D17&lt;=EDATE(Q$8,1)-1,$E17&gt;=Q$8),1,""))</f>
        <v/>
      </c>
      <c r="R17" s="16" t="str">
        <f aca="false">IF(OR($B17="",$D17="",$E17="",R$8=""),"",IF(AND($E17&gt;=$D17,$D17&lt;=EDATE(R$8,1)-1,$E17&gt;=R$8),1,""))</f>
        <v/>
      </c>
    </row>
    <row r="18" customFormat="false" ht="43" hidden="false" customHeight="true" outlineLevel="0" collapsed="false">
      <c r="A18" s="1"/>
      <c r="B18" s="13"/>
      <c r="C18" s="13"/>
      <c r="D18" s="14"/>
      <c r="E18" s="14"/>
      <c r="F18" s="15"/>
      <c r="G18" s="15"/>
      <c r="H18" s="13"/>
      <c r="I18" s="13"/>
      <c r="J18" s="13"/>
      <c r="K18" s="7" t="str">
        <f aca="false">IF(B18="","",IF(OR(D18="",E18=""),"Completar datas",IF(E18&lt;D18,"Rever datas",IF(AND(ISNUMBER($G$5),E18&lt;$G$5,F18&lt;&gt;"Concluído"),"Revisar prazo",""))))</f>
        <v/>
      </c>
      <c r="L18" s="1"/>
      <c r="M18" s="16" t="str">
        <f aca="false">IF(OR($B18="",$D18="",$E18="",M$8=""),"",IF(AND($E18&gt;=$D18,$D18&lt;=EDATE(M$8,1)-1,$E18&gt;=M$8),1,""))</f>
        <v/>
      </c>
      <c r="N18" s="16" t="str">
        <f aca="false">IF(OR($B18="",$D18="",$E18="",N$8=""),"",IF(AND($E18&gt;=$D18,$D18&lt;=EDATE(N$8,1)-1,$E18&gt;=N$8),1,""))</f>
        <v/>
      </c>
      <c r="O18" s="16" t="str">
        <f aca="false">IF(OR($B18="",$D18="",$E18="",O$8=""),"",IF(AND($E18&gt;=$D18,$D18&lt;=EDATE(O$8,1)-1,$E18&gt;=O$8),1,""))</f>
        <v/>
      </c>
      <c r="P18" s="16" t="str">
        <f aca="false">IF(OR($B18="",$D18="",$E18="",P$8=""),"",IF(AND($E18&gt;=$D18,$D18&lt;=EDATE(P$8,1)-1,$E18&gt;=P$8),1,""))</f>
        <v/>
      </c>
      <c r="Q18" s="16" t="str">
        <f aca="false">IF(OR($B18="",$D18="",$E18="",Q$8=""),"",IF(AND($E18&gt;=$D18,$D18&lt;=EDATE(Q$8,1)-1,$E18&gt;=Q$8),1,""))</f>
        <v/>
      </c>
      <c r="R18" s="16" t="str">
        <f aca="false">IF(OR($B18="",$D18="",$E18="",R$8=""),"",IF(AND($E18&gt;=$D18,$D18&lt;=EDATE(R$8,1)-1,$E18&gt;=R$8),1,""))</f>
        <v/>
      </c>
    </row>
    <row r="19" customFormat="false" ht="43" hidden="false" customHeight="true" outlineLevel="0" collapsed="false">
      <c r="A19" s="1"/>
      <c r="B19" s="13"/>
      <c r="C19" s="13"/>
      <c r="D19" s="14"/>
      <c r="E19" s="14"/>
      <c r="F19" s="15"/>
      <c r="G19" s="15"/>
      <c r="H19" s="13"/>
      <c r="I19" s="13"/>
      <c r="J19" s="13"/>
      <c r="K19" s="7" t="str">
        <f aca="false">IF(B19="","",IF(OR(D19="",E19=""),"Completar datas",IF(E19&lt;D19,"Rever datas",IF(AND(ISNUMBER($G$5),E19&lt;$G$5,F19&lt;&gt;"Concluído"),"Revisar prazo",""))))</f>
        <v/>
      </c>
      <c r="L19" s="1"/>
      <c r="M19" s="16" t="str">
        <f aca="false">IF(OR($B19="",$D19="",$E19="",M$8=""),"",IF(AND($E19&gt;=$D19,$D19&lt;=EDATE(M$8,1)-1,$E19&gt;=M$8),1,""))</f>
        <v/>
      </c>
      <c r="N19" s="16" t="str">
        <f aca="false">IF(OR($B19="",$D19="",$E19="",N$8=""),"",IF(AND($E19&gt;=$D19,$D19&lt;=EDATE(N$8,1)-1,$E19&gt;=N$8),1,""))</f>
        <v/>
      </c>
      <c r="O19" s="16" t="str">
        <f aca="false">IF(OR($B19="",$D19="",$E19="",O$8=""),"",IF(AND($E19&gt;=$D19,$D19&lt;=EDATE(O$8,1)-1,$E19&gt;=O$8),1,""))</f>
        <v/>
      </c>
      <c r="P19" s="16" t="str">
        <f aca="false">IF(OR($B19="",$D19="",$E19="",P$8=""),"",IF(AND($E19&gt;=$D19,$D19&lt;=EDATE(P$8,1)-1,$E19&gt;=P$8),1,""))</f>
        <v/>
      </c>
      <c r="Q19" s="16" t="str">
        <f aca="false">IF(OR($B19="",$D19="",$E19="",Q$8=""),"",IF(AND($E19&gt;=$D19,$D19&lt;=EDATE(Q$8,1)-1,$E19&gt;=Q$8),1,""))</f>
        <v/>
      </c>
      <c r="R19" s="16" t="str">
        <f aca="false">IF(OR($B19="",$D19="",$E19="",R$8=""),"",IF(AND($E19&gt;=$D19,$D19&lt;=EDATE(R$8,1)-1,$E19&gt;=R$8),1,""))</f>
        <v/>
      </c>
    </row>
    <row r="20" customFormat="false" ht="43" hidden="false" customHeight="true" outlineLevel="0" collapsed="false">
      <c r="A20" s="1"/>
      <c r="B20" s="13"/>
      <c r="C20" s="13"/>
      <c r="D20" s="14"/>
      <c r="E20" s="14"/>
      <c r="F20" s="15"/>
      <c r="G20" s="15"/>
      <c r="H20" s="13"/>
      <c r="I20" s="13"/>
      <c r="J20" s="13"/>
      <c r="K20" s="7" t="str">
        <f aca="false">IF(B20="","",IF(OR(D20="",E20=""),"Completar datas",IF(E20&lt;D20,"Rever datas",IF(AND(ISNUMBER($G$5),E20&lt;$G$5,F20&lt;&gt;"Concluído"),"Revisar prazo",""))))</f>
        <v/>
      </c>
      <c r="L20" s="1"/>
      <c r="M20" s="16" t="str">
        <f aca="false">IF(OR($B20="",$D20="",$E20="",M$8=""),"",IF(AND($E20&gt;=$D20,$D20&lt;=EDATE(M$8,1)-1,$E20&gt;=M$8),1,""))</f>
        <v/>
      </c>
      <c r="N20" s="16" t="str">
        <f aca="false">IF(OR($B20="",$D20="",$E20="",N$8=""),"",IF(AND($E20&gt;=$D20,$D20&lt;=EDATE(N$8,1)-1,$E20&gt;=N$8),1,""))</f>
        <v/>
      </c>
      <c r="O20" s="16" t="str">
        <f aca="false">IF(OR($B20="",$D20="",$E20="",O$8=""),"",IF(AND($E20&gt;=$D20,$D20&lt;=EDATE(O$8,1)-1,$E20&gt;=O$8),1,""))</f>
        <v/>
      </c>
      <c r="P20" s="16" t="str">
        <f aca="false">IF(OR($B20="",$D20="",$E20="",P$8=""),"",IF(AND($E20&gt;=$D20,$D20&lt;=EDATE(P$8,1)-1,$E20&gt;=P$8),1,""))</f>
        <v/>
      </c>
      <c r="Q20" s="16" t="str">
        <f aca="false">IF(OR($B20="",$D20="",$E20="",Q$8=""),"",IF(AND($E20&gt;=$D20,$D20&lt;=EDATE(Q$8,1)-1,$E20&gt;=Q$8),1,""))</f>
        <v/>
      </c>
      <c r="R20" s="16" t="str">
        <f aca="false">IF(OR($B20="",$D20="",$E20="",R$8=""),"",IF(AND($E20&gt;=$D20,$D20&lt;=EDATE(R$8,1)-1,$E20&gt;=R$8),1,""))</f>
        <v/>
      </c>
    </row>
    <row r="21" customFormat="false" ht="43" hidden="false" customHeight="true" outlineLevel="0" collapsed="false">
      <c r="A21" s="1"/>
      <c r="B21" s="13"/>
      <c r="C21" s="13"/>
      <c r="D21" s="14"/>
      <c r="E21" s="14"/>
      <c r="F21" s="15"/>
      <c r="G21" s="15"/>
      <c r="H21" s="13"/>
      <c r="I21" s="13"/>
      <c r="J21" s="13"/>
      <c r="K21" s="7" t="str">
        <f aca="false">IF(B21="","",IF(OR(D21="",E21=""),"Completar datas",IF(E21&lt;D21,"Rever datas",IF(AND(ISNUMBER($G$5),E21&lt;$G$5,F21&lt;&gt;"Concluído"),"Revisar prazo",""))))</f>
        <v/>
      </c>
      <c r="L21" s="1"/>
      <c r="M21" s="16" t="str">
        <f aca="false">IF(OR($B21="",$D21="",$E21="",M$8=""),"",IF(AND($E21&gt;=$D21,$D21&lt;=EDATE(M$8,1)-1,$E21&gt;=M$8),1,""))</f>
        <v/>
      </c>
      <c r="N21" s="16" t="str">
        <f aca="false">IF(OR($B21="",$D21="",$E21="",N$8=""),"",IF(AND($E21&gt;=$D21,$D21&lt;=EDATE(N$8,1)-1,$E21&gt;=N$8),1,""))</f>
        <v/>
      </c>
      <c r="O21" s="16" t="str">
        <f aca="false">IF(OR($B21="",$D21="",$E21="",O$8=""),"",IF(AND($E21&gt;=$D21,$D21&lt;=EDATE(O$8,1)-1,$E21&gt;=O$8),1,""))</f>
        <v/>
      </c>
      <c r="P21" s="16" t="str">
        <f aca="false">IF(OR($B21="",$D21="",$E21="",P$8=""),"",IF(AND($E21&gt;=$D21,$D21&lt;=EDATE(P$8,1)-1,$E21&gt;=P$8),1,""))</f>
        <v/>
      </c>
      <c r="Q21" s="16" t="str">
        <f aca="false">IF(OR($B21="",$D21="",$E21="",Q$8=""),"",IF(AND($E21&gt;=$D21,$D21&lt;=EDATE(Q$8,1)-1,$E21&gt;=Q$8),1,""))</f>
        <v/>
      </c>
      <c r="R21" s="16" t="str">
        <f aca="false">IF(OR($B21="",$D21="",$E21="",R$8=""),"",IF(AND($E21&gt;=$D21,$D21&lt;=EDATE(R$8,1)-1,$E21&gt;=R$8),1,""))</f>
        <v/>
      </c>
    </row>
    <row r="22" customFormat="false" ht="21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21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21" hidden="false" customHeight="true" outlineLevel="0" collapsed="false">
      <c r="A24" s="1"/>
      <c r="B24" s="17" t="s">
        <v>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21" hidden="false" customHeight="true" outlineLevel="0" collapsed="false">
      <c r="A25" s="1"/>
      <c r="B25" s="9" t="s">
        <v>54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21" hidden="false" customHeight="true" outlineLevel="0" collapsed="false">
      <c r="A26" s="1"/>
      <c r="B26" s="9" t="s">
        <v>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21" hidden="false" customHeight="true" outlineLevel="0" collapsed="false">
      <c r="A27" s="1"/>
      <c r="B27" s="9" t="s">
        <v>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21" hidden="false" customHeight="true" outlineLevel="0" collapsed="false">
      <c r="A28" s="1"/>
      <c r="B28" s="9" t="s">
        <v>57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21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conditionalFormatting sqref="F10:F21">
    <cfRule type="expression" priority="2" aboveAverage="0" equalAverage="0" bottom="0" percent="0" rank="0" text="" dxfId="150">
      <formula>$F10="A fazer"</formula>
    </cfRule>
    <cfRule type="expression" priority="3" aboveAverage="0" equalAverage="0" bottom="0" percent="0" rank="0" text="" dxfId="151">
      <formula>$F10="Em andamento"</formula>
    </cfRule>
    <cfRule type="expression" priority="4" aboveAverage="0" equalAverage="0" bottom="0" percent="0" rank="0" text="" dxfId="152">
      <formula>$F10="Em validação"</formula>
    </cfRule>
    <cfRule type="expression" priority="5" aboveAverage="0" equalAverage="0" bottom="0" percent="0" rank="0" text="" dxfId="153">
      <formula>$F10="Concluído"</formula>
    </cfRule>
    <cfRule type="expression" priority="6" aboveAverage="0" equalAverage="0" bottom="0" percent="0" rank="0" text="" dxfId="154">
      <formula>$F10="Bloqueado"</formula>
    </cfRule>
    <cfRule type="expression" priority="7" aboveAverage="0" equalAverage="0" bottom="0" percent="0" rank="0" text="" dxfId="155">
      <formula>$F10="Pausado"</formula>
    </cfRule>
  </conditionalFormatting>
  <conditionalFormatting sqref="M10:R21">
    <cfRule type="expression" priority="8" aboveAverage="0" equalAverage="0" bottom="0" percent="0" rank="0" text="" dxfId="156">
      <formula>AND(M10=1,$F10="A fazer")</formula>
    </cfRule>
    <cfRule type="expression" priority="9" aboveAverage="0" equalAverage="0" bottom="0" percent="0" rank="0" text="" dxfId="157">
      <formula>AND(M10=1,$F10="Em andamento")</formula>
    </cfRule>
    <cfRule type="expression" priority="10" aboveAverage="0" equalAverage="0" bottom="0" percent="0" rank="0" text="" dxfId="158">
      <formula>AND(M10=1,$F10="Em validação")</formula>
    </cfRule>
    <cfRule type="expression" priority="11" aboveAverage="0" equalAverage="0" bottom="0" percent="0" rank="0" text="" dxfId="159">
      <formula>AND(M10=1,$F10="Concluído")</formula>
    </cfRule>
    <cfRule type="expression" priority="12" aboveAverage="0" equalAverage="0" bottom="0" percent="0" rank="0" text="" dxfId="160">
      <formula>AND(M10=1,$F10="Bloqueado")</formula>
    </cfRule>
    <cfRule type="expression" priority="13" aboveAverage="0" equalAverage="0" bottom="0" percent="0" rank="0" text="" dxfId="161">
      <formula>AND(M10=1,$F10="Pausado")</formula>
    </cfRule>
    <cfRule type="expression" priority="14" aboveAverage="0" equalAverage="0" bottom="0" percent="0" rank="0" text="" dxfId="162">
      <formula>AND(M10=1,$F10="")</formula>
    </cfRule>
  </conditionalFormatting>
  <conditionalFormatting sqref="K10:K21">
    <cfRule type="containsText" priority="15" operator="containsText" aboveAverage="0" equalAverage="0" bottom="0" percent="0" rank="0" text="Rever datas" dxfId="163">
      <formula>NOT(ISERROR(SEARCH("Rever datas",K10)))</formula>
    </cfRule>
    <cfRule type="containsText" priority="16" operator="containsText" aboveAverage="0" equalAverage="0" bottom="0" percent="0" rank="0" text="Revisar" dxfId="164">
      <formula>NOT(ISERROR(SEARCH("Revisar",K10)))</formula>
    </cfRule>
  </conditionalFormatting>
  <dataValidations count="2">
    <dataValidation allowBlank="false" error="Selecione um dos seis status disponíveis no menu." errorStyle="stop" errorTitle="Escolha um status" operator="between" showDropDown="false" showErrorMessage="true" showInputMessage="false" sqref="F10:F21" type="list">
      <formula1>"A fazer,Em andamento,Em validação,Concluído,Bloqueado,Pausado"</formula1>
      <formula2>0</formula2>
    </dataValidation>
    <dataValidation allowBlank="false" error="Selecione Alta, Média ou Baixa no menu." errorStyle="stop" errorTitle="Escolha uma prioridade" operator="between" showDropDown="false" showErrorMessage="true" showInputMessage="false" sqref="G10:G21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EBBC0"/>
    <pageSetUpPr fitToPage="false"/>
  </sheetPr>
  <dimension ref="A1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7.22"/>
    <col collapsed="false" customWidth="true" hidden="false" outlineLevel="0" max="3" min="3" style="0" width="15"/>
    <col collapsed="false" customWidth="true" hidden="false" outlineLevel="0" max="5" min="4" style="0" width="11.78"/>
    <col collapsed="false" customWidth="true" hidden="false" outlineLevel="0" max="6" min="6" style="0" width="15"/>
    <col collapsed="false" customWidth="true" hidden="false" outlineLevel="0" max="7" min="7" style="0" width="11.78"/>
    <col collapsed="false" customWidth="true" hidden="false" outlineLevel="0" max="8" min="8" style="0" width="12.78"/>
    <col collapsed="false" customWidth="true" hidden="false" outlineLevel="0" max="9" min="9" style="0" width="26.11"/>
    <col collapsed="false" customWidth="true" hidden="false" outlineLevel="0" max="10" min="10" style="0" width="27.22"/>
    <col collapsed="false" customWidth="true" hidden="false" outlineLevel="0" max="11" min="11" style="0" width="18.34"/>
    <col collapsed="false" customWidth="true" hidden="false" outlineLevel="0" max="12" min="12" style="0" width="2"/>
    <col collapsed="false" customWidth="true" hidden="false" outlineLevel="0" max="15" min="13" style="0" width="23.33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" hidden="false" customHeight="true" outlineLevel="0" collapsed="false">
      <c r="A2" s="1"/>
      <c r="B2" s="2" t="s">
        <v>17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21" hidden="false" customHeight="true" outlineLevel="0" collapsed="false">
      <c r="A3" s="1"/>
      <c r="B3" s="19" t="s">
        <v>98</v>
      </c>
      <c r="C3" s="1"/>
      <c r="D3" s="1"/>
      <c r="E3" s="1"/>
      <c r="F3" s="1"/>
      <c r="G3" s="1"/>
      <c r="H3" s="1"/>
      <c r="I3" s="9" t="s">
        <v>86</v>
      </c>
      <c r="J3" s="1"/>
      <c r="K3" s="1"/>
      <c r="L3" s="1"/>
      <c r="M3" s="1"/>
      <c r="N3" s="1"/>
      <c r="O3" s="1"/>
    </row>
    <row r="4" customFormat="false" ht="2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21" hidden="false" customHeight="true" outlineLevel="0" collapsed="false">
      <c r="A5" s="1"/>
      <c r="B5" s="1" t="s">
        <v>87</v>
      </c>
      <c r="C5" s="11" t="n">
        <v>46447</v>
      </c>
      <c r="D5" s="1"/>
      <c r="E5" s="1"/>
      <c r="F5" s="1" t="s">
        <v>88</v>
      </c>
      <c r="G5" s="11" t="n">
        <v>46454</v>
      </c>
      <c r="H5" s="1"/>
      <c r="I5" s="1"/>
      <c r="J5" s="1"/>
      <c r="K5" s="1"/>
      <c r="L5" s="1"/>
      <c r="M5" s="1"/>
      <c r="N5" s="1"/>
      <c r="O5" s="1"/>
    </row>
    <row r="6" customFormat="false" ht="21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21" hidden="false" customHeight="true" outlineLevel="0" collapsed="false">
      <c r="A7" s="1"/>
      <c r="B7" s="9" t="s">
        <v>36</v>
      </c>
      <c r="C7" s="9"/>
      <c r="D7" s="9"/>
      <c r="E7" s="9"/>
      <c r="F7" s="9" t="s">
        <v>37</v>
      </c>
      <c r="G7" s="9"/>
      <c r="H7" s="9"/>
      <c r="I7" s="9"/>
      <c r="J7" s="9" t="s">
        <v>99</v>
      </c>
      <c r="K7" s="9"/>
      <c r="L7" s="1"/>
      <c r="M7" s="1"/>
      <c r="N7" s="1"/>
      <c r="O7" s="1"/>
    </row>
    <row r="8" customFormat="false" ht="21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customFormat="false" ht="36" hidden="false" customHeight="true" outlineLevel="0" collapsed="false">
      <c r="A9" s="1"/>
      <c r="B9" s="4" t="s">
        <v>39</v>
      </c>
      <c r="C9" s="4" t="s">
        <v>40</v>
      </c>
      <c r="D9" s="4" t="s">
        <v>89</v>
      </c>
      <c r="E9" s="4" t="s">
        <v>90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47</v>
      </c>
      <c r="K9" s="4" t="s">
        <v>48</v>
      </c>
      <c r="L9" s="1"/>
      <c r="M9" s="4" t="s">
        <v>91</v>
      </c>
      <c r="N9" s="4" t="s">
        <v>92</v>
      </c>
      <c r="O9" s="4" t="s">
        <v>93</v>
      </c>
    </row>
    <row r="10" customFormat="false" ht="43" hidden="false" customHeight="true" outlineLevel="0" collapsed="false">
      <c r="A10" s="1"/>
      <c r="B10" s="13" t="s">
        <v>217</v>
      </c>
      <c r="C10" s="13" t="s">
        <v>107</v>
      </c>
      <c r="D10" s="18" t="s">
        <v>91</v>
      </c>
      <c r="E10" s="14" t="n">
        <v>46453</v>
      </c>
      <c r="F10" s="15" t="s">
        <v>108</v>
      </c>
      <c r="G10" s="15" t="s">
        <v>103</v>
      </c>
      <c r="H10" s="13"/>
      <c r="I10" s="13" t="s">
        <v>218</v>
      </c>
      <c r="J10" s="13" t="s">
        <v>219</v>
      </c>
      <c r="K10" s="7" t="str">
        <f aca="false">IF(B10="","",IF(D10="","Definir horizonte",IF(E10="","Definir revisão",IF(AND(ISNUMBER($C$5),E10&lt;$C$5,F10&lt;&gt;"Concluído"),"Revisar item",""))))</f>
        <v/>
      </c>
      <c r="L10" s="1"/>
      <c r="M10" s="16" t="n">
        <f aca="false">IF($B10="","",IF($D10=M$9,1,""))</f>
        <v>1</v>
      </c>
      <c r="N10" s="16" t="str">
        <f aca="false">IF($B10="","",IF($D10=N$9,1,""))</f>
        <v/>
      </c>
      <c r="O10" s="16" t="str">
        <f aca="false">IF($B10="","",IF($D10=O$9,1,""))</f>
        <v/>
      </c>
    </row>
    <row r="11" customFormat="false" ht="43" hidden="false" customHeight="true" outlineLevel="0" collapsed="false">
      <c r="A11" s="1"/>
      <c r="B11" s="13" t="s">
        <v>220</v>
      </c>
      <c r="C11" s="13" t="s">
        <v>119</v>
      </c>
      <c r="D11" s="18" t="s">
        <v>91</v>
      </c>
      <c r="E11" s="14" t="n">
        <v>46453</v>
      </c>
      <c r="F11" s="15" t="s">
        <v>108</v>
      </c>
      <c r="G11" s="15" t="s">
        <v>103</v>
      </c>
      <c r="H11" s="13"/>
      <c r="I11" s="13" t="s">
        <v>121</v>
      </c>
      <c r="J11" s="13" t="s">
        <v>221</v>
      </c>
      <c r="K11" s="7" t="str">
        <f aca="false">IF(B11="","",IF(D11="","Definir horizonte",IF(E11="","Definir revisão",IF(AND(ISNUMBER($C$5),E11&lt;$C$5,F11&lt;&gt;"Concluído"),"Revisar item",""))))</f>
        <v/>
      </c>
      <c r="L11" s="1"/>
      <c r="M11" s="16" t="n">
        <f aca="false">IF($B11="","",IF($D11=M$9,1,""))</f>
        <v>1</v>
      </c>
      <c r="N11" s="16" t="str">
        <f aca="false">IF($B11="","",IF($D11=N$9,1,""))</f>
        <v/>
      </c>
      <c r="O11" s="16" t="str">
        <f aca="false">IF($B11="","",IF($D11=O$9,1,""))</f>
        <v/>
      </c>
    </row>
    <row r="12" customFormat="false" ht="43" hidden="false" customHeight="true" outlineLevel="0" collapsed="false">
      <c r="A12" s="1"/>
      <c r="B12" s="13" t="s">
        <v>222</v>
      </c>
      <c r="C12" s="13" t="s">
        <v>150</v>
      </c>
      <c r="D12" s="18" t="s">
        <v>92</v>
      </c>
      <c r="E12" s="14" t="n">
        <v>46461</v>
      </c>
      <c r="F12" s="15" t="s">
        <v>114</v>
      </c>
      <c r="G12" s="15" t="s">
        <v>120</v>
      </c>
      <c r="H12" s="13" t="s">
        <v>223</v>
      </c>
      <c r="I12" s="13" t="s">
        <v>224</v>
      </c>
      <c r="J12" s="13" t="s">
        <v>225</v>
      </c>
      <c r="K12" s="7" t="str">
        <f aca="false">IF(B12="","",IF(D12="","Definir horizonte",IF(E12="","Definir revisão",IF(AND(ISNUMBER($C$5),E12&lt;$C$5,F12&lt;&gt;"Concluído"),"Revisar item",""))))</f>
        <v/>
      </c>
      <c r="L12" s="1"/>
      <c r="M12" s="16" t="str">
        <f aca="false">IF($B12="","",IF($D12=M$9,1,""))</f>
        <v/>
      </c>
      <c r="N12" s="16" t="n">
        <f aca="false">IF($B12="","",IF($D12=N$9,1,""))</f>
        <v>1</v>
      </c>
      <c r="O12" s="16" t="str">
        <f aca="false">IF($B12="","",IF($D12=O$9,1,""))</f>
        <v/>
      </c>
    </row>
    <row r="13" customFormat="false" ht="43" hidden="false" customHeight="true" outlineLevel="0" collapsed="false">
      <c r="A13" s="1"/>
      <c r="B13" s="13" t="s">
        <v>226</v>
      </c>
      <c r="C13" s="13" t="s">
        <v>227</v>
      </c>
      <c r="D13" s="18" t="s">
        <v>92</v>
      </c>
      <c r="E13" s="14" t="n">
        <v>46461</v>
      </c>
      <c r="F13" s="15" t="s">
        <v>114</v>
      </c>
      <c r="G13" s="15" t="s">
        <v>120</v>
      </c>
      <c r="H13" s="13" t="s">
        <v>223</v>
      </c>
      <c r="I13" s="13" t="s">
        <v>228</v>
      </c>
      <c r="J13" s="13" t="s">
        <v>229</v>
      </c>
      <c r="K13" s="7" t="str">
        <f aca="false">IF(B13="","",IF(D13="","Definir horizonte",IF(E13="","Definir revisão",IF(AND(ISNUMBER($C$5),E13&lt;$C$5,F13&lt;&gt;"Concluído"),"Revisar item",""))))</f>
        <v/>
      </c>
      <c r="L13" s="1"/>
      <c r="M13" s="16" t="str">
        <f aca="false">IF($B13="","",IF($D13=M$9,1,""))</f>
        <v/>
      </c>
      <c r="N13" s="16" t="n">
        <f aca="false">IF($B13="","",IF($D13=N$9,1,""))</f>
        <v>1</v>
      </c>
      <c r="O13" s="16" t="str">
        <f aca="false">IF($B13="","",IF($D13=O$9,1,""))</f>
        <v/>
      </c>
    </row>
    <row r="14" customFormat="false" ht="43" hidden="false" customHeight="true" outlineLevel="0" collapsed="false">
      <c r="A14" s="1"/>
      <c r="B14" s="13" t="s">
        <v>230</v>
      </c>
      <c r="C14" s="13" t="s">
        <v>231</v>
      </c>
      <c r="D14" s="18" t="s">
        <v>93</v>
      </c>
      <c r="E14" s="14" t="n">
        <v>46477</v>
      </c>
      <c r="F14" s="15" t="s">
        <v>114</v>
      </c>
      <c r="G14" s="15" t="s">
        <v>232</v>
      </c>
      <c r="H14" s="13" t="s">
        <v>233</v>
      </c>
      <c r="I14" s="13" t="s">
        <v>234</v>
      </c>
      <c r="J14" s="13" t="s">
        <v>235</v>
      </c>
      <c r="K14" s="7" t="str">
        <f aca="false">IF(B14="","",IF(D14="","Definir horizonte",IF(E14="","Definir revisão",IF(AND(ISNUMBER($C$5),E14&lt;$C$5,F14&lt;&gt;"Concluído"),"Revisar item",""))))</f>
        <v/>
      </c>
      <c r="L14" s="1"/>
      <c r="M14" s="16" t="str">
        <f aca="false">IF($B14="","",IF($D14=M$9,1,""))</f>
        <v/>
      </c>
      <c r="N14" s="16" t="str">
        <f aca="false">IF($B14="","",IF($D14=N$9,1,""))</f>
        <v/>
      </c>
      <c r="O14" s="16" t="n">
        <f aca="false">IF($B14="","",IF($D14=O$9,1,""))</f>
        <v>1</v>
      </c>
    </row>
    <row r="15" customFormat="false" ht="43" hidden="false" customHeight="true" outlineLevel="0" collapsed="false">
      <c r="A15" s="1"/>
      <c r="B15" s="13" t="s">
        <v>236</v>
      </c>
      <c r="C15" s="13" t="s">
        <v>237</v>
      </c>
      <c r="D15" s="18" t="s">
        <v>93</v>
      </c>
      <c r="E15" s="14" t="n">
        <v>46477</v>
      </c>
      <c r="F15" s="15" t="s">
        <v>238</v>
      </c>
      <c r="G15" s="15" t="s">
        <v>232</v>
      </c>
      <c r="H15" s="13" t="s">
        <v>239</v>
      </c>
      <c r="I15" s="13" t="s">
        <v>240</v>
      </c>
      <c r="J15" s="13" t="s">
        <v>241</v>
      </c>
      <c r="K15" s="7" t="str">
        <f aca="false">IF(B15="","",IF(D15="","Definir horizonte",IF(E15="","Definir revisão",IF(AND(ISNUMBER($C$5),E15&lt;$C$5,F15&lt;&gt;"Concluído"),"Revisar item",""))))</f>
        <v/>
      </c>
      <c r="L15" s="1"/>
      <c r="M15" s="16" t="str">
        <f aca="false">IF($B15="","",IF($D15=M$9,1,""))</f>
        <v/>
      </c>
      <c r="N15" s="16" t="str">
        <f aca="false">IF($B15="","",IF($D15=N$9,1,""))</f>
        <v/>
      </c>
      <c r="O15" s="16" t="n">
        <f aca="false">IF($B15="","",IF($D15=O$9,1,""))</f>
        <v>1</v>
      </c>
    </row>
    <row r="16" customFormat="false" ht="43" hidden="false" customHeight="true" outlineLevel="0" collapsed="false">
      <c r="A16" s="1"/>
      <c r="B16" s="13"/>
      <c r="C16" s="13"/>
      <c r="D16" s="18"/>
      <c r="E16" s="14"/>
      <c r="F16" s="15"/>
      <c r="G16" s="15"/>
      <c r="H16" s="13"/>
      <c r="I16" s="13"/>
      <c r="J16" s="13"/>
      <c r="K16" s="7" t="str">
        <f aca="false">IF(B16="","",IF(D16="","Definir horizonte",IF(E16="","Definir revisão",IF(AND(ISNUMBER($C$5),E16&lt;$C$5,F16&lt;&gt;"Concluído"),"Revisar item",""))))</f>
        <v/>
      </c>
      <c r="L16" s="1"/>
      <c r="M16" s="16" t="str">
        <f aca="false">IF($B16="","",IF($D16=M$9,1,""))</f>
        <v/>
      </c>
      <c r="N16" s="16" t="str">
        <f aca="false">IF($B16="","",IF($D16=N$9,1,""))</f>
        <v/>
      </c>
      <c r="O16" s="16" t="str">
        <f aca="false">IF($B16="","",IF($D16=O$9,1,""))</f>
        <v/>
      </c>
    </row>
    <row r="17" customFormat="false" ht="43" hidden="false" customHeight="true" outlineLevel="0" collapsed="false">
      <c r="A17" s="1"/>
      <c r="B17" s="13"/>
      <c r="C17" s="13"/>
      <c r="D17" s="18"/>
      <c r="E17" s="14"/>
      <c r="F17" s="15"/>
      <c r="G17" s="15"/>
      <c r="H17" s="13"/>
      <c r="I17" s="13"/>
      <c r="J17" s="13"/>
      <c r="K17" s="7" t="str">
        <f aca="false">IF(B17="","",IF(D17="","Definir horizonte",IF(E17="","Definir revisão",IF(AND(ISNUMBER($C$5),E17&lt;$C$5,F17&lt;&gt;"Concluído"),"Revisar item",""))))</f>
        <v/>
      </c>
      <c r="L17" s="1"/>
      <c r="M17" s="16" t="str">
        <f aca="false">IF($B17="","",IF($D17=M$9,1,""))</f>
        <v/>
      </c>
      <c r="N17" s="16" t="str">
        <f aca="false">IF($B17="","",IF($D17=N$9,1,""))</f>
        <v/>
      </c>
      <c r="O17" s="16" t="str">
        <f aca="false">IF($B17="","",IF($D17=O$9,1,""))</f>
        <v/>
      </c>
    </row>
    <row r="18" customFormat="false" ht="43" hidden="false" customHeight="true" outlineLevel="0" collapsed="false">
      <c r="A18" s="1"/>
      <c r="B18" s="13"/>
      <c r="C18" s="13"/>
      <c r="D18" s="18"/>
      <c r="E18" s="14"/>
      <c r="F18" s="15"/>
      <c r="G18" s="15"/>
      <c r="H18" s="13"/>
      <c r="I18" s="13"/>
      <c r="J18" s="13"/>
      <c r="K18" s="7" t="str">
        <f aca="false">IF(B18="","",IF(D18="","Definir horizonte",IF(E18="","Definir revisão",IF(AND(ISNUMBER($C$5),E18&lt;$C$5,F18&lt;&gt;"Concluído"),"Revisar item",""))))</f>
        <v/>
      </c>
      <c r="L18" s="1"/>
      <c r="M18" s="16" t="str">
        <f aca="false">IF($B18="","",IF($D18=M$9,1,""))</f>
        <v/>
      </c>
      <c r="N18" s="16" t="str">
        <f aca="false">IF($B18="","",IF($D18=N$9,1,""))</f>
        <v/>
      </c>
      <c r="O18" s="16" t="str">
        <f aca="false">IF($B18="","",IF($D18=O$9,1,""))</f>
        <v/>
      </c>
    </row>
    <row r="19" customFormat="false" ht="43" hidden="false" customHeight="true" outlineLevel="0" collapsed="false">
      <c r="A19" s="1"/>
      <c r="B19" s="13"/>
      <c r="C19" s="13"/>
      <c r="D19" s="18"/>
      <c r="E19" s="14"/>
      <c r="F19" s="15"/>
      <c r="G19" s="15"/>
      <c r="H19" s="13"/>
      <c r="I19" s="13"/>
      <c r="J19" s="13"/>
      <c r="K19" s="7" t="str">
        <f aca="false">IF(B19="","",IF(D19="","Definir horizonte",IF(E19="","Definir revisão",IF(AND(ISNUMBER($C$5),E19&lt;$C$5,F19&lt;&gt;"Concluído"),"Revisar item",""))))</f>
        <v/>
      </c>
      <c r="L19" s="1"/>
      <c r="M19" s="16" t="str">
        <f aca="false">IF($B19="","",IF($D19=M$9,1,""))</f>
        <v/>
      </c>
      <c r="N19" s="16" t="str">
        <f aca="false">IF($B19="","",IF($D19=N$9,1,""))</f>
        <v/>
      </c>
      <c r="O19" s="16" t="str">
        <f aca="false">IF($B19="","",IF($D19=O$9,1,""))</f>
        <v/>
      </c>
    </row>
    <row r="20" customFormat="false" ht="43" hidden="false" customHeight="true" outlineLevel="0" collapsed="false">
      <c r="A20" s="1"/>
      <c r="B20" s="13"/>
      <c r="C20" s="13"/>
      <c r="D20" s="18"/>
      <c r="E20" s="14"/>
      <c r="F20" s="15"/>
      <c r="G20" s="15"/>
      <c r="H20" s="13"/>
      <c r="I20" s="13"/>
      <c r="J20" s="13"/>
      <c r="K20" s="7" t="str">
        <f aca="false">IF(B20="","",IF(D20="","Definir horizonte",IF(E20="","Definir revisão",IF(AND(ISNUMBER($C$5),E20&lt;$C$5,F20&lt;&gt;"Concluído"),"Revisar item",""))))</f>
        <v/>
      </c>
      <c r="L20" s="1"/>
      <c r="M20" s="16" t="str">
        <f aca="false">IF($B20="","",IF($D20=M$9,1,""))</f>
        <v/>
      </c>
      <c r="N20" s="16" t="str">
        <f aca="false">IF($B20="","",IF($D20=N$9,1,""))</f>
        <v/>
      </c>
      <c r="O20" s="16" t="str">
        <f aca="false">IF($B20="","",IF($D20=O$9,1,""))</f>
        <v/>
      </c>
    </row>
    <row r="21" customFormat="false" ht="43" hidden="false" customHeight="true" outlineLevel="0" collapsed="false">
      <c r="A21" s="1"/>
      <c r="B21" s="13"/>
      <c r="C21" s="13"/>
      <c r="D21" s="18"/>
      <c r="E21" s="14"/>
      <c r="F21" s="15"/>
      <c r="G21" s="15"/>
      <c r="H21" s="13"/>
      <c r="I21" s="13"/>
      <c r="J21" s="13"/>
      <c r="K21" s="7" t="str">
        <f aca="false">IF(B21="","",IF(D21="","Definir horizonte",IF(E21="","Definir revisão",IF(AND(ISNUMBER($C$5),E21&lt;$C$5,F21&lt;&gt;"Concluído"),"Revisar item",""))))</f>
        <v/>
      </c>
      <c r="L21" s="1"/>
      <c r="M21" s="16" t="str">
        <f aca="false">IF($B21="","",IF($D21=M$9,1,""))</f>
        <v/>
      </c>
      <c r="N21" s="16" t="str">
        <f aca="false">IF($B21="","",IF($D21=N$9,1,""))</f>
        <v/>
      </c>
      <c r="O21" s="16" t="str">
        <f aca="false">IF($B21="","",IF($D21=O$9,1,""))</f>
        <v/>
      </c>
    </row>
    <row r="22" customFormat="false" ht="21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customFormat="false" ht="21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customFormat="false" ht="21" hidden="false" customHeight="true" outlineLevel="0" collapsed="false">
      <c r="A24" s="1"/>
      <c r="B24" s="17" t="s">
        <v>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customFormat="false" ht="21" hidden="false" customHeight="true" outlineLevel="0" collapsed="false">
      <c r="A25" s="1"/>
      <c r="B25" s="9" t="s">
        <v>94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customFormat="false" ht="21" hidden="false" customHeight="true" outlineLevel="0" collapsed="false">
      <c r="A26" s="1"/>
      <c r="B26" s="9" t="s">
        <v>95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customFormat="false" ht="21" hidden="false" customHeight="true" outlineLevel="0" collapsed="false">
      <c r="A27" s="1"/>
      <c r="B27" s="9" t="s">
        <v>96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customFormat="false" ht="21" hidden="false" customHeight="true" outlineLevel="0" collapsed="false">
      <c r="A28" s="1"/>
      <c r="B28" s="9" t="s">
        <v>97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customFormat="false" ht="21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</sheetData>
  <conditionalFormatting sqref="F10:F21">
    <cfRule type="expression" priority="2" aboveAverage="0" equalAverage="0" bottom="0" percent="0" rank="0" text="" dxfId="165">
      <formula>$F10="A fazer"</formula>
    </cfRule>
    <cfRule type="expression" priority="3" aboveAverage="0" equalAverage="0" bottom="0" percent="0" rank="0" text="" dxfId="166">
      <formula>$F10="Em andamento"</formula>
    </cfRule>
    <cfRule type="expression" priority="4" aboveAverage="0" equalAverage="0" bottom="0" percent="0" rank="0" text="" dxfId="167">
      <formula>$F10="Em validação"</formula>
    </cfRule>
    <cfRule type="expression" priority="5" aboveAverage="0" equalAverage="0" bottom="0" percent="0" rank="0" text="" dxfId="168">
      <formula>$F10="Concluído"</formula>
    </cfRule>
    <cfRule type="expression" priority="6" aboveAverage="0" equalAverage="0" bottom="0" percent="0" rank="0" text="" dxfId="169">
      <formula>$F10="Bloqueado"</formula>
    </cfRule>
    <cfRule type="expression" priority="7" aboveAverage="0" equalAverage="0" bottom="0" percent="0" rank="0" text="" dxfId="170">
      <formula>$F10="Pausado"</formula>
    </cfRule>
  </conditionalFormatting>
  <conditionalFormatting sqref="M10:O21">
    <cfRule type="expression" priority="8" aboveAverage="0" equalAverage="0" bottom="0" percent="0" rank="0" text="" dxfId="171">
      <formula>AND(M10=1,$F10="A fazer")</formula>
    </cfRule>
    <cfRule type="expression" priority="9" aboveAverage="0" equalAverage="0" bottom="0" percent="0" rank="0" text="" dxfId="172">
      <formula>AND(M10=1,$F10="Em andamento")</formula>
    </cfRule>
    <cfRule type="expression" priority="10" aboveAverage="0" equalAverage="0" bottom="0" percent="0" rank="0" text="" dxfId="173">
      <formula>AND(M10=1,$F10="Em validação")</formula>
    </cfRule>
    <cfRule type="expression" priority="11" aboveAverage="0" equalAverage="0" bottom="0" percent="0" rank="0" text="" dxfId="174">
      <formula>AND(M10=1,$F10="Concluído")</formula>
    </cfRule>
    <cfRule type="expression" priority="12" aboveAverage="0" equalAverage="0" bottom="0" percent="0" rank="0" text="" dxfId="175">
      <formula>AND(M10=1,$F10="Bloqueado")</formula>
    </cfRule>
    <cfRule type="expression" priority="13" aboveAverage="0" equalAverage="0" bottom="0" percent="0" rank="0" text="" dxfId="176">
      <formula>AND(M10=1,$F10="Pausado")</formula>
    </cfRule>
    <cfRule type="expression" priority="14" aboveAverage="0" equalAverage="0" bottom="0" percent="0" rank="0" text="" dxfId="177">
      <formula>AND(M10=1,$F10="")</formula>
    </cfRule>
  </conditionalFormatting>
  <conditionalFormatting sqref="K10:K21">
    <cfRule type="containsText" priority="15" operator="containsText" aboveAverage="0" equalAverage="0" bottom="0" percent="0" rank="0" text="Rever datas" dxfId="178">
      <formula>NOT(ISERROR(SEARCH("Rever datas",K10)))</formula>
    </cfRule>
    <cfRule type="containsText" priority="16" operator="containsText" aboveAverage="0" equalAverage="0" bottom="0" percent="0" rank="0" text="Revisar" dxfId="179">
      <formula>NOT(ISERROR(SEARCH("Revisar",K10)))</formula>
    </cfRule>
  </conditionalFormatting>
  <dataValidations count="3">
    <dataValidation allowBlank="false" error="Selecione um dos seis status disponíveis no menu." errorStyle="stop" errorTitle="Escolha um status" operator="between" showDropDown="false" showErrorMessage="true" showInputMessage="false" sqref="F10:F21" type="list">
      <formula1>"A fazer,Em andamento,Em validação,Concluído,Bloqueado,Pausado"</formula1>
      <formula2>0</formula2>
    </dataValidation>
    <dataValidation allowBlank="false" error="Selecione Alta, Média ou Baixa no menu." errorStyle="stop" errorTitle="Escolha uma prioridade" operator="between" showDropDown="false" showErrorMessage="true" showInputMessage="false" sqref="G10:G21" type="list">
      <formula1>"Alta,Média,Baixa"</formula1>
      <formula2>0</formula2>
    </dataValidation>
    <dataValidation allowBlank="false" error="Selecione Agora, Depois ou Futuro no menu." errorStyle="stop" errorTitle="Escolha um horizonte" operator="between" showDropDown="false" showErrorMessage="true" showInputMessage="false" sqref="D10:D21" type="list">
      <formula1>"Agora,Depois,Futuro"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
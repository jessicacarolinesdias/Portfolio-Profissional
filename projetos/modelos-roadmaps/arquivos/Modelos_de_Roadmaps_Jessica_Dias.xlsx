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dc010958384a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93cc930781a147ec"/>
    <x:sheet xmlns:r="http://schemas.openxmlformats.org/officeDocument/2006/relationships" name="01_Estrategico" sheetId="2" r:id="R1ebc67dc07624203"/>
    <x:sheet xmlns:r="http://schemas.openxmlformats.org/officeDocument/2006/relationships" name="02_PMO" sheetId="3" r:id="R480ba3124771424f"/>
    <x:sheet xmlns:r="http://schemas.openxmlformats.org/officeDocument/2006/relationships" name="03_Implantacao" sheetId="4" r:id="R02bfcfe2493245e9"/>
    <x:sheet xmlns:r="http://schemas.openxmlformats.org/officeDocument/2006/relationships" name="04_Processos" sheetId="5" r:id="R7dd9a5b3a72f4089"/>
    <x:sheet xmlns:r="http://schemas.openxmlformats.org/officeDocument/2006/relationships" name="05_SGQ" sheetId="6" r:id="Rd98bdd9f94fd4730"/>
    <x:sheet xmlns:r="http://schemas.openxmlformats.org/officeDocument/2006/relationships" name="06_AgoraDepoisFuturo" sheetId="7" r:id="R51957cf67cca4505"/>
    <x:sheet xmlns:r="http://schemas.openxmlformats.org/officeDocument/2006/relationships" name="EX_01_Estrategico" sheetId="8" r:id="R42af03770b4e4944"/>
    <x:sheet xmlns:r="http://schemas.openxmlformats.org/officeDocument/2006/relationships" name="EX_02_PMO" sheetId="9" r:id="R25122b8d1240476b"/>
    <x:sheet xmlns:r="http://schemas.openxmlformats.org/officeDocument/2006/relationships" name="EX_03_Implantacao" sheetId="10" r:id="R4b0a1db53595446d"/>
    <x:sheet xmlns:r="http://schemas.openxmlformats.org/officeDocument/2006/relationships" name="EX_04_Processos" sheetId="11" r:id="R98de40a3881b416d"/>
    <x:sheet xmlns:r="http://schemas.openxmlformats.org/officeDocument/2006/relationships" name="EX_05_SGQ" sheetId="12" r:id="Rd021629c162447d0"/>
    <x:sheet xmlns:r="http://schemas.openxmlformats.org/officeDocument/2006/relationships" name="EX_06_AgoraDepoisFuturo" sheetId="13" r:id="Ree1fca9287b146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;;;"/>
    <x:numFmt numFmtId="202" formatCode="dd/mm"/>
  </x:numFmts>
  <x:fonts count="9">
    <x:font>
      <x:sz val="11"/>
      <x:name val="Carlito"/>
    </x:font>
    <x:font>
      <x:sz val="10"/>
      <x:color rgb="FF193442"/>
      <x:name val="Arial"/>
    </x:font>
    <x:font>
      <x:b/>
      <x:sz val="16"/>
      <x:color rgb="FF173444"/>
      <x:name val="Arial"/>
    </x:font>
    <x:font>
      <x:b/>
      <x:sz val="12"/>
      <x:color rgb="FF193442"/>
      <x:name val="Arial"/>
    </x:font>
    <x:font>
      <x:b/>
      <x:sz val="10"/>
      <x:color rgb="FFFFFFFF"/>
      <x:name val="Arial"/>
    </x:font>
    <x:font>
      <x:b/>
      <x:sz val="10"/>
      <x:color rgb="FF008B87"/>
      <x:name val="Arial"/>
    </x:font>
    <x:font>
      <x:sz val="10"/>
      <x:color rgb="FF647985"/>
      <x:name val="Arial"/>
    </x:font>
    <x:font>
      <x:b/>
      <x:sz val="10"/>
      <x:color rgb="FF193442"/>
      <x:name val="Arial"/>
    </x:font>
    <x:font>
      <x:b/>
      <x:sz val="10"/>
      <x:color rgb="FF9D6224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444"/>
      </x:patternFill>
    </x:fill>
    <x:fill>
      <x:patternFill patternType="solid">
        <x:fgColor rgb="FFFFFFFF"/>
      </x:patternFill>
    </x:fill>
    <x:fill>
      <x:patternFill patternType="solid">
        <x:fgColor rgb="FFF0F3F5"/>
      </x:patternFill>
    </x:fill>
    <x:fill>
      <x:patternFill patternType="solid">
        <x:fgColor rgb="FFFFF4D8"/>
      </x:patternFill>
    </x:fill>
    <x:fill>
      <x:patternFill patternType="solid">
        <x:fgColor rgb="FFF3F6F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horizontal="right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5" borderId="0" xfId="0" applyNumberFormat="1" applyFont="1" applyFill="1" applyBorder="1" applyAlignment="1">
      <x:alignment horizontal="right" vertical="center" wrapText="1"/>
    </x:xf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80"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  <x:dxf>
      <x:font>
        <x:color rgb="FF263D48"/>
      </x:font>
      <x:fill>
        <x:patternFill patternType="solid">
          <x:bgColor rgb="FFC5CDD1"/>
        </x:patternFill>
      </x:fill>
    </x:dxf>
    <x:dxf>
      <x:fill>
        <x:patternFill patternType="solid">
          <x:bgColor rgb="FFC5CDD1"/>
        </x:patternFill>
      </x:fill>
    </x:dxf>
    <x:dxf>
      <x:font>
        <x:color rgb="FFFFFFFF"/>
      </x:font>
      <x:fill>
        <x:patternFill patternType="solid">
          <x:bgColor rgb="FF008B87"/>
        </x:patternFill>
      </x:fill>
    </x:dxf>
    <x:dxf>
      <x:fill>
        <x:patternFill patternType="solid">
          <x:bgColor rgb="FF008B87"/>
        </x:patternFill>
      </x:fill>
    </x:dxf>
    <x:dxf>
      <x:font>
        <x:color rgb="FFFFFFFF"/>
      </x:font>
      <x:fill>
        <x:patternFill patternType="solid">
          <x:bgColor rgb="FF3B7EA1"/>
        </x:patternFill>
      </x:fill>
    </x:dxf>
    <x:dxf>
      <x:fill>
        <x:patternFill patternType="solid">
          <x:bgColor rgb="FF3B7EA1"/>
        </x:patternFill>
      </x:fill>
    </x:dxf>
    <x:dxf>
      <x:font>
        <x:color rgb="FFFFFFFF"/>
      </x:font>
      <x:fill>
        <x:patternFill patternType="solid">
          <x:bgColor rgb="FF173444"/>
        </x:patternFill>
      </x:fill>
    </x:dxf>
    <x:dxf>
      <x:fill>
        <x:patternFill patternType="solid">
          <x:bgColor rgb="FF173444"/>
        </x:patternFill>
      </x:fill>
    </x:dxf>
    <x:dxf>
      <x:font>
        <x:color rgb="FFFFFFFF"/>
      </x:font>
      <x:fill>
        <x:patternFill patternType="solid">
          <x:bgColor rgb="FFB85A64"/>
        </x:patternFill>
      </x:fill>
    </x:dxf>
    <x:dxf>
      <x:fill>
        <x:patternFill patternType="solid">
          <x:bgColor rgb="FFB85A64"/>
        </x:patternFill>
      </x:fill>
    </x:dxf>
    <x:dxf>
      <x:font>
        <x:color rgb="FFFFFFFF"/>
      </x:font>
      <x:fill>
        <x:patternFill patternType="solid">
          <x:bgColor rgb="FFD89A3C"/>
        </x:patternFill>
      </x:fill>
    </x:dxf>
    <x:dxf>
      <x:fill>
        <x:patternFill patternType="solid">
          <x:bgColor rgb="FFD89A3C"/>
        </x:patternFill>
      </x:fill>
    </x:dxf>
    <x:dxf>
      <x:fill>
        <x:patternFill patternType="solid">
          <x:bgColor rgb="FFC5CDD1"/>
        </x:patternFill>
      </x:fill>
    </x:dxf>
    <x:dxf>
      <x:font>
        <x:b/>
        <x:color rgb="FF9F3347"/>
      </x:font>
      <x:fill>
        <x:patternFill patternType="solid">
          <x:bgColor rgb="FFFCE4E7"/>
        </x:patternFill>
      </x:fill>
    </x:dxf>
    <x:dxf>
      <x:font>
        <x:color rgb="FF89570E"/>
      </x:font>
      <x:fill>
        <x:patternFill patternType="solid">
          <x:bgColor rgb="FFFFF0D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8a9c67ca1c4132" /><Relationship Type="http://schemas.openxmlformats.org/officeDocument/2006/relationships/theme" Target="/xl/theme/theme1.xml" Id="R7d46cc3a062f4ae3" /><Relationship Type="http://schemas.openxmlformats.org/officeDocument/2006/relationships/sharedStrings" Target="/xl/sharedStrings.xml" Id="Ra6f3a561cd0843e3" /><Relationship Type="http://schemas.openxmlformats.org/officeDocument/2006/relationships/worksheet" Target="/xl/worksheets/sheet1.xml" Id="R93cc930781a147ec" /><Relationship Type="http://schemas.openxmlformats.org/officeDocument/2006/relationships/worksheet" Target="/xl/worksheets/sheet2.xml" Id="R1ebc67dc07624203" /><Relationship Type="http://schemas.openxmlformats.org/officeDocument/2006/relationships/worksheet" Target="/xl/worksheets/sheet3.xml" Id="R480ba3124771424f" /><Relationship Type="http://schemas.openxmlformats.org/officeDocument/2006/relationships/worksheet" Target="/xl/worksheets/sheet4.xml" Id="R02bfcfe2493245e9" /><Relationship Type="http://schemas.openxmlformats.org/officeDocument/2006/relationships/worksheet" Target="/xl/worksheets/sheet5.xml" Id="R7dd9a5b3a72f4089" /><Relationship Type="http://schemas.openxmlformats.org/officeDocument/2006/relationships/worksheet" Target="/xl/worksheets/sheet6.xml" Id="Rd98bdd9f94fd4730" /><Relationship Type="http://schemas.openxmlformats.org/officeDocument/2006/relationships/worksheet" Target="/xl/worksheets/sheet7.xml" Id="R51957cf67cca4505" /><Relationship Type="http://schemas.openxmlformats.org/officeDocument/2006/relationships/worksheet" Target="/xl/worksheets/sheet8.xml" Id="R42af03770b4e4944" /><Relationship Type="http://schemas.openxmlformats.org/officeDocument/2006/relationships/worksheet" Target="/xl/worksheets/sheet9.xml" Id="R25122b8d1240476b" /><Relationship Type="http://schemas.openxmlformats.org/officeDocument/2006/relationships/worksheet" Target="/xl/worksheets/sheet10.xml" Id="R4b0a1db53595446d" /><Relationship Type="http://schemas.openxmlformats.org/officeDocument/2006/relationships/worksheet" Target="/xl/worksheets/sheet11.xml" Id="R98de40a3881b416d" /><Relationship Type="http://schemas.openxmlformats.org/officeDocument/2006/relationships/worksheet" Target="/xl/worksheets/sheet12.xml" Id="Rd021629c162447d0" /><Relationship Type="http://schemas.openxmlformats.org/officeDocument/2006/relationships/worksheet" Target="/xl/worksheets/sheet13.xml" Id="Ree1fca9287b146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444"/>
  </x:sheetPr>
  <x:sheetViews>
    <x:sheetView showGridLines="0" workbookViewId="0"/>
  </x:sheetViews>
  <x:sheetFormatPr defaultRowHeight="15"/>
  <x:cols>
    <x:col min="1" max="1" width="2.2200000286102295" hidden="0" customWidth="1"/>
    <x:col min="2" max="2" width="29.440000534057617" hidden="0" customWidth="1"/>
    <x:col min="3" max="3" width="41.66999816894531" hidden="0" customWidth="1"/>
    <x:col min="4" max="4" width="20" hidden="0" customWidth="1"/>
    <x:col min="5" max="5" width="21.670000076293945" hidden="0" customWidth="1"/>
  </x:cols>
  <x:sheetData>
    <x:row r="1" ht="21" customHeight="1">
      <x:c r="A1" s="2"/>
      <x:c r="B1" s="2"/>
      <x:c r="C1" s="2"/>
      <x:c r="D1" s="2"/>
      <x:c r="E1" s="2"/>
    </x:row>
    <x:row r="2" ht="21" customHeight="1">
      <x:c r="A2" s="2"/>
      <x:c r="B2" s="3" t="str">
        <x:v>Modelos de Roadmaps</x:v>
      </x:c>
      <x:c r="C2" s="2"/>
      <x:c r="D2" s="2"/>
      <x:c r="E2" s="2"/>
    </x:row>
    <x:row r="3" ht="21" customHeight="1">
      <x:c r="A3" s="2"/>
      <x:c r="B3" s="2" t="str">
        <x:v>Jéssica Caroline da Silva Dias</x:v>
      </x:c>
      <x:c r="C3" s="2"/>
      <x:c r="D3" s="2"/>
      <x:c r="E3" s="2"/>
    </x:row>
    <x:row r="4" ht="21" customHeight="1">
      <x:c r="A4" s="2"/>
      <x:c r="B4" s="2"/>
      <x:c r="C4" s="2"/>
      <x:c r="D4" s="2"/>
      <x:c r="E4" s="2"/>
    </x:row>
    <x:row r="5" ht="21" customHeight="1">
      <x:c r="A5" s="2"/>
      <x:c r="B5" s="4" t="str">
        <x:v>Seis formatos de planejamento</x:v>
      </x:c>
      <x:c r="C5" s="2"/>
      <x:c r="D5" s="2"/>
      <x:c r="E5" s="2"/>
    </x:row>
    <x:row r="6" ht="36" customHeight="1">
      <x:c r="A6" s="2"/>
      <x:c r="B6" s="8" t="str">
        <x:v>Formato</x:v>
      </x:c>
      <x:c r="C6" s="8" t="str">
        <x:v>Quando usar</x:v>
      </x:c>
      <x:c r="D6" s="8" t="str">
        <x:v>Aba do modelo</x:v>
      </x:c>
      <x:c r="E6" s="8" t="str">
        <x:v>Aba do exemplo</x:v>
      </x:c>
    </x:row>
    <x:row r="7" ht="48" customHeight="1">
      <x:c r="A7" s="2"/>
      <x:c r="B7" s="10" t="str">
        <x:v>Estratégico</x:v>
      </x:c>
      <x:c r="C7" s="10" t="str">
        <x:v>Conectar objetivos, iniciativas e marcos de decisão.</x:v>
      </x:c>
      <x:c r="D7" s="12" t="str">
        <x:v>01_Estrategico</x:v>
      </x:c>
      <x:c r="E7" s="12" t="str">
        <x:v>EX_01_Estrategico</x:v>
      </x:c>
    </x:row>
    <x:row r="8" ht="48" customHeight="1">
      <x:c r="A8" s="2"/>
      <x:c r="B8" s="13" t="str">
        <x:v>Portfólio PMO</x:v>
      </x:c>
      <x:c r="C8" s="13" t="str">
        <x:v>Acompanhar frentes, responsáveis, dependências e aceite.</x:v>
      </x:c>
      <x:c r="D8" s="15" t="str">
        <x:v>02_PMO</x:v>
      </x:c>
      <x:c r="E8" s="15" t="str">
        <x:v>EX_02_PMO</x:v>
      </x:c>
    </x:row>
    <x:row r="9" ht="48" customHeight="1">
      <x:c r="A9" s="2"/>
      <x:c r="B9" s="10" t="str">
        <x:v>Implantação</x:v>
      </x:c>
      <x:c r="C9" s="10" t="str">
        <x:v>Organizar requisitos, preparação, UAT e estabilização.</x:v>
      </x:c>
      <x:c r="D9" s="12" t="str">
        <x:v>03_Implantacao</x:v>
      </x:c>
      <x:c r="E9" s="12" t="str">
        <x:v>EX_03_Implantacao</x:v>
      </x:c>
    </x:row>
    <x:row r="10" ht="48" customHeight="1">
      <x:c r="A10" s="2"/>
      <x:c r="B10" s="13" t="str">
        <x:v>Processos</x:v>
      </x:c>
      <x:c r="C10" s="13" t="str">
        <x:v>Conectar AS IS, análise, TO BE, piloto e medição.</x:v>
      </x:c>
      <x:c r="D10" s="15" t="str">
        <x:v>04_Processos</x:v>
      </x:c>
      <x:c r="E10" s="15" t="str">
        <x:v>EX_04_Processos</x:v>
      </x:c>
    </x:row>
    <x:row r="11" ht="48" customHeight="1">
      <x:c r="A11" s="2"/>
      <x:c r="B11" s="10" t="str">
        <x:v>Qualidade e SGQ</x:v>
      </x:c>
      <x:c r="C11" s="10" t="str">
        <x:v>Planejar documentação, análise de controles e revisão do SGQ.</x:v>
      </x:c>
      <x:c r="D11" s="12" t="str">
        <x:v>05_SGQ</x:v>
      </x:c>
      <x:c r="E11" s="12" t="str">
        <x:v>EX_05_SGQ</x:v>
      </x:c>
    </x:row>
    <x:row r="12" ht="48" customHeight="1">
      <x:c r="A12" s="2"/>
      <x:c r="B12" s="13" t="str">
        <x:v>Agora, Depois, Futuro</x:v>
      </x:c>
      <x:c r="C12" s="13" t="str">
        <x:v>Organizar prioridades quando ainda há incerteza sobre datas.</x:v>
      </x:c>
      <x:c r="D12" s="15" t="str">
        <x:v>06_AgoraDepoisFuturo</x:v>
      </x:c>
      <x:c r="E12" s="15" t="str">
        <x:v>EX_06_AgoraDepoisFuturo</x:v>
      </x:c>
    </x:row>
    <x:row r="13" ht="21" customHeight="1">
      <x:c r="A13" s="2"/>
      <x:c r="B13" s="2"/>
      <x:c r="C13" s="2"/>
      <x:c r="D13" s="2"/>
      <x:c r="E13" s="2"/>
    </x:row>
    <x:row r="14" ht="21" customHeight="1">
      <x:c r="A14" s="2"/>
      <x:c r="B14" s="2"/>
      <x:c r="C14" s="2"/>
      <x:c r="D14" s="2"/>
      <x:c r="E14" s="2"/>
    </x:row>
    <x:row r="15" ht="21" customHeight="1">
      <x:c r="A15" s="2"/>
      <x:c r="B15" s="4" t="str">
        <x:v>Como começar</x:v>
      </x:c>
      <x:c r="C15" s="2"/>
      <x:c r="D15" s="2"/>
      <x:c r="E15" s="2"/>
    </x:row>
    <x:row r="16" ht="21" customHeight="1">
      <x:c r="A16" s="2"/>
      <x:c r="B16" s="2"/>
      <x:c r="C16" s="2"/>
      <x:c r="D16" s="2"/>
      <x:c r="E16" s="2"/>
    </x:row>
    <x:row r="17" ht="21" customHeight="1">
      <x:c r="A17" s="2"/>
      <x:c r="B17" s="2" t="str">
        <x:v>1. Escolha o formato.</x:v>
      </x:c>
      <x:c r="C17" s="2" t="str">
        <x:v>Consulte o exemplo e duplique a aba de modelo.</x:v>
      </x:c>
      <x:c r="D17" s="2"/>
      <x:c r="E17" s="2"/>
    </x:row>
    <x:row r="18" ht="21" customHeight="1">
      <x:c r="A18" s="2"/>
      <x:c r="B18" s="2" t="str">
        <x:v>2. Preencha o planejamento.</x:v>
      </x:c>
      <x:c r="C18" s="2" t="str">
        <x:v>Defina responsáveis, datas, dependências e critérios de aceite.</x:v>
      </x:c>
      <x:c r="D18" s="2"/>
      <x:c r="E18" s="2"/>
    </x:row>
    <x:row r="19" ht="21" customHeight="1">
      <x:c r="A19" s="2"/>
      <x:c r="B19" s="2" t="str">
        <x:v>3. Revise as escolhas.</x:v>
      </x:c>
      <x:c r="C19" s="2" t="str">
        <x:v>Use os menus de status e prioridade e acompanhe as pendências.</x:v>
      </x:c>
      <x:c r="D19" s="2"/>
      <x:c r="E19" s="2"/>
    </x:row>
    <x:row r="20" ht="21" customHeight="1">
      <x:c r="A20" s="2"/>
      <x:c r="B20" s="2" t="str">
        <x:v>4. Atualize o roadmap.</x:v>
      </x:c>
      <x:c r="C20" s="2" t="str">
        <x:v>Altere as entradas amarelas; a escala e as barras usam fórmulas.</x:v>
      </x:c>
      <x:c r="D20" s="2"/>
      <x:c r="E20" s="2"/>
    </x:row>
    <x:row r="21" ht="21" customHeight="1">
      <x:c r="A21" s="2"/>
      <x:c r="B21" s="2"/>
      <x:c r="C21" s="2"/>
      <x:c r="D21" s="2"/>
      <x:c r="E21" s="2"/>
    </x:row>
    <x:row r="22" ht="21" customHeight="1">
      <x:c r="A22" s="2"/>
      <x:c r="B22" s="16" t="str">
        <x:v>Dados dos exemplos</x:v>
      </x:c>
      <x:c r="C22" s="16" t="str">
        <x:v>Cenários fictícios de 2027, criados para demonstrar os modelos.</x:v>
      </x:c>
      <x:c r="D22" s="2"/>
      <x:c r="E22" s="2"/>
    </x:row>
    <x:row r="23" ht="21" customHeight="1">
      <x:c r="A23" s="2"/>
      <x:c r="B23" s="16" t="str">
        <x:v>Uso das dependências</x:v>
      </x:c>
      <x:c r="C23" s="16" t="str">
        <x:v>Referências informativas; mudanças não reagendam outras entregas.</x:v>
      </x:c>
      <x:c r="D23" s="2"/>
      <x:c r="E23" s="2"/>
    </x:row>
    <x:row r="24" ht="21" customHeight="1">
      <x:c r="A24" s="2"/>
      <x:c r="B24" s="2"/>
      <x:c r="C24" s="2"/>
      <x:c r="D24" s="2"/>
      <x:c r="E2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08B87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17.780000686645508" hidden="0" customWidth="1"/>
    <x:col min="14" max="14" width="17.780000686645508" hidden="0" customWidth="1"/>
    <x:col min="15" max="15" width="17.780000686645508" hidden="0" customWidth="1"/>
    <x:col min="16" max="16" width="17.780000686645508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1" customHeight="1">
      <x:c r="A2" s="2"/>
      <x:c r="B2" s="3" t="str">
        <x:v>Estratégico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 ht="21" customHeight="1">
      <x:c r="A3" s="2"/>
      <x:c r="B3" s="17" t="str">
        <x:v>Modelo para preencher</x:v>
      </x:c>
      <x:c r="C3" s="2"/>
      <x:c r="D3" s="2"/>
      <x:c r="E3" s="2"/>
      <x:c r="F3" s="2"/>
      <x:c r="G3" s="2"/>
      <x:c r="H3" s="2"/>
      <x:c r="I3" s="16" t="str">
        <x:v>12 meses em quatro trimestres</x:v>
      </x:c>
      <x:c r="J3" s="2"/>
      <x:c r="K3" s="2"/>
      <x:c r="L3" s="2"/>
      <x:c r="M3" s="2"/>
      <x:c r="N3" s="2"/>
      <x:c r="O3" s="2"/>
      <x:c r="P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1" customHeight="1">
      <x:c r="A5" s="2"/>
      <x:c r="B5" s="2" t="str">
        <x:v>Data-base</x:v>
      </x:c>
      <x:c r="C5" s="19"/>
      <x:c r="D5" s="2"/>
      <x:c r="E5" s="2"/>
      <x:c r="F5" s="2" t="str">
        <x:v>Data de revisão</x:v>
      </x:c>
      <x:c r="G5" s="19"/>
      <x:c r="H5" s="2"/>
      <x:c r="I5" s="2"/>
      <x:c r="J5" s="2"/>
      <x:c r="K5" s="2"/>
      <x:c r="L5" s="2"/>
      <x:c r="M5" s="2"/>
      <x:c r="N5" s="2"/>
      <x:c r="O5" s="2"/>
      <x:c r="P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12 linhas disponíveis</x:v>
      </x:c>
      <x:c r="K7" s="16"/>
      <x:c r="L7" s="2"/>
      <x:c r="M7" s="2"/>
      <x:c r="N7" s="2"/>
      <x:c r="O7" s="2"/>
      <x:c r="P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str">
        <x:f>IF($C$5="","",EDATE($C$5,0))</x:f>
      </x:c>
      <x:c r="N8" s="28" t="str">
        <x:f>IF($C$5="","",EDATE($C$5,3))</x:f>
      </x:c>
      <x:c r="O8" s="28" t="str">
        <x:f>IF($C$5="","",EDATE($C$5,6))</x:f>
      </x:c>
      <x:c r="P8" s="28" t="str">
        <x:f>IF($C$5="","",EDATE($C$5,9))</x:f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T1</x:v>
      </x:c>
      <x:c r="N9" s="8" t="str">
        <x:v>T2</x:v>
      </x:c>
      <x:c r="O9" s="8" t="str">
        <x:v>T3</x:v>
      </x:c>
      <x:c r="P9" s="8" t="str">
        <x:v>T4</x:v>
      </x:c>
    </x:row>
    <x:row r="10" ht="43" customHeight="1">
      <x:c r="A10" s="2"/>
      <x:c r="B10" s="20"/>
      <x:c r="C10" s="20"/>
      <x:c r="D10" s="23"/>
      <x:c r="E10" s="23"/>
      <x:c r="F10" s="22"/>
      <x:c r="G10" s="22"/>
      <x:c r="H10" s="20"/>
      <x:c r="I10" s="20"/>
      <x:c r="J10" s="20"/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str">
        <x:f>IF(OR($B10="",$D10="",$E10="",M$8=""),"",IF(AND($E10&gt;=$D10,$D10&lt;=EDATE(M$8,3)-1,$E10&gt;=M$8),1,""))</x:f>
      </x:c>
      <x:c r="N10" s="25" t="str">
        <x:f>IF(OR($B10="",$D10="",$E10="",N$8=""),"",IF(AND($E10&gt;=$D10,$D10&lt;=EDATE(N$8,3)-1,$E10&gt;=N$8),1,""))</x:f>
      </x:c>
      <x:c r="O10" s="25" t="str">
        <x:f>IF(OR($B10="",$D10="",$E10="",O$8=""),"",IF(AND($E10&gt;=$D10,$D10&lt;=EDATE(O$8,3)-1,$E10&gt;=O$8),1,""))</x:f>
      </x:c>
      <x:c r="P10" s="25" t="str">
        <x:f>IF(OR($B10="",$D10="",$E10="",P$8=""),"",IF(AND($E10&gt;=$D10,$D10&lt;=EDATE(P$8,3)-1,$E10&gt;=P$8),1,""))</x:f>
      </x:c>
    </x:row>
    <x:row r="11" ht="43" customHeight="1">
      <x:c r="A11" s="2"/>
      <x:c r="B11" s="20"/>
      <x:c r="C11" s="20"/>
      <x:c r="D11" s="23"/>
      <x:c r="E11" s="23"/>
      <x:c r="F11" s="22"/>
      <x:c r="G11" s="22"/>
      <x:c r="H11" s="20"/>
      <x:c r="I11" s="20"/>
      <x:c r="J11" s="20"/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str">
        <x:f>IF(OR($B11="",$D11="",$E11="",M$8=""),"",IF(AND($E11&gt;=$D11,$D11&lt;=EDATE(M$8,3)-1,$E11&gt;=M$8),1,""))</x:f>
      </x:c>
      <x:c r="N11" s="25" t="str">
        <x:f>IF(OR($B11="",$D11="",$E11="",N$8=""),"",IF(AND($E11&gt;=$D11,$D11&lt;=EDATE(N$8,3)-1,$E11&gt;=N$8),1,""))</x:f>
      </x:c>
      <x:c r="O11" s="25" t="str">
        <x:f>IF(OR($B11="",$D11="",$E11="",O$8=""),"",IF(AND($E11&gt;=$D11,$D11&lt;=EDATE(O$8,3)-1,$E11&gt;=O$8),1,""))</x:f>
      </x:c>
      <x:c r="P11" s="25" t="str">
        <x:f>IF(OR($B11="",$D11="",$E11="",P$8=""),"",IF(AND($E11&gt;=$D11,$D11&lt;=EDATE(P$8,3)-1,$E11&gt;=P$8),1,""))</x:f>
      </x:c>
    </x:row>
    <x:row r="12" ht="43" customHeight="1">
      <x:c r="A12" s="2"/>
      <x:c r="B12" s="20"/>
      <x:c r="C12" s="20"/>
      <x:c r="D12" s="23"/>
      <x:c r="E12" s="23"/>
      <x:c r="F12" s="22"/>
      <x:c r="G12" s="22"/>
      <x:c r="H12" s="20"/>
      <x:c r="I12" s="20"/>
      <x:c r="J12" s="20"/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IF(OR($B12="",$D12="",$E12="",M$8=""),"",IF(AND($E12&gt;=$D12,$D12&lt;=EDATE(M$8,3)-1,$E12&gt;=M$8),1,""))</x:f>
      </x:c>
      <x:c r="N12" s="25" t="str">
        <x:f>IF(OR($B12="",$D12="",$E12="",N$8=""),"",IF(AND($E12&gt;=$D12,$D12&lt;=EDATE(N$8,3)-1,$E12&gt;=N$8),1,""))</x:f>
      </x:c>
      <x:c r="O12" s="25" t="str">
        <x:f>IF(OR($B12="",$D12="",$E12="",O$8=""),"",IF(AND($E12&gt;=$D12,$D12&lt;=EDATE(O$8,3)-1,$E12&gt;=O$8),1,""))</x:f>
      </x:c>
      <x:c r="P12" s="25" t="str">
        <x:f>IF(OR($B12="",$D12="",$E12="",P$8=""),"",IF(AND($E12&gt;=$D12,$D12&lt;=EDATE(P$8,3)-1,$E12&gt;=P$8),1,""))</x:f>
      </x:c>
    </x:row>
    <x:row r="13" ht="43" customHeight="1">
      <x:c r="A13" s="2"/>
      <x:c r="B13" s="20"/>
      <x:c r="C13" s="20"/>
      <x:c r="D13" s="23"/>
      <x:c r="E13" s="23"/>
      <x:c r="F13" s="22"/>
      <x:c r="G13" s="22"/>
      <x:c r="H13" s="20"/>
      <x:c r="I13" s="20"/>
      <x:c r="J13" s="20"/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IF(OR($B13="",$D13="",$E13="",M$8=""),"",IF(AND($E13&gt;=$D13,$D13&lt;=EDATE(M$8,3)-1,$E13&gt;=M$8),1,""))</x:f>
      </x:c>
      <x:c r="N13" s="25" t="str">
        <x:f>IF(OR($B13="",$D13="",$E13="",N$8=""),"",IF(AND($E13&gt;=$D13,$D13&lt;=EDATE(N$8,3)-1,$E13&gt;=N$8),1,""))</x:f>
      </x:c>
      <x:c r="O13" s="25" t="str">
        <x:f>IF(OR($B13="",$D13="",$E13="",O$8=""),"",IF(AND($E13&gt;=$D13,$D13&lt;=EDATE(O$8,3)-1,$E13&gt;=O$8),1,""))</x:f>
      </x:c>
      <x:c r="P13" s="25" t="str">
        <x:f>IF(OR($B13="",$D13="",$E13="",P$8=""),"",IF(AND($E13&gt;=$D13,$D13&lt;=EDATE(P$8,3)-1,$E13&gt;=P$8),1,""))</x:f>
      </x:c>
    </x:row>
    <x:row r="14" ht="43" customHeight="1">
      <x:c r="A14" s="2"/>
      <x:c r="B14" s="20"/>
      <x:c r="C14" s="20"/>
      <x:c r="D14" s="23"/>
      <x:c r="E14" s="23"/>
      <x:c r="F14" s="22"/>
      <x:c r="G14" s="22"/>
      <x:c r="H14" s="20"/>
      <x:c r="I14" s="20"/>
      <x:c r="J14" s="20"/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IF(OR($B14="",$D14="",$E14="",M$8=""),"",IF(AND($E14&gt;=$D14,$D14&lt;=EDATE(M$8,3)-1,$E14&gt;=M$8),1,""))</x:f>
      </x:c>
      <x:c r="N14" s="25" t="str">
        <x:f>IF(OR($B14="",$D14="",$E14="",N$8=""),"",IF(AND($E14&gt;=$D14,$D14&lt;=EDATE(N$8,3)-1,$E14&gt;=N$8),1,""))</x:f>
      </x:c>
      <x:c r="O14" s="25" t="str">
        <x:f>IF(OR($B14="",$D14="",$E14="",O$8=""),"",IF(AND($E14&gt;=$D14,$D14&lt;=EDATE(O$8,3)-1,$E14&gt;=O$8),1,""))</x:f>
      </x:c>
      <x:c r="P14" s="25" t="str">
        <x:f>IF(OR($B14="",$D14="",$E14="",P$8=""),"",IF(AND($E14&gt;=$D14,$D14&lt;=EDATE(P$8,3)-1,$E14&gt;=P$8),1,""))</x:f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IF(OR($B15="",$D15="",$E15="",M$8=""),"",IF(AND($E15&gt;=$D15,$D15&lt;=EDATE(M$8,3)-1,$E15&gt;=M$8),1,""))</x:f>
      </x:c>
      <x:c r="N15" s="25" t="str">
        <x:f>IF(OR($B15="",$D15="",$E15="",N$8=""),"",IF(AND($E15&gt;=$D15,$D15&lt;=EDATE(N$8,3)-1,$E15&gt;=N$8),1,""))</x:f>
      </x:c>
      <x:c r="O15" s="25" t="str">
        <x:f>IF(OR($B15="",$D15="",$E15="",O$8=""),"",IF(AND($E15&gt;=$D15,$D15&lt;=EDATE(O$8,3)-1,$E15&gt;=O$8),1,""))</x:f>
      </x:c>
      <x:c r="P15" s="25" t="str">
        <x:f>IF(OR($B15="",$D15="",$E15="",P$8=""),"",IF(AND($E15&gt;=$D15,$D15&lt;=EDATE(P$8,3)-1,$E15&gt;=P$8),1,""))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IF(OR($B16="",$D16="",$E16="",M$8=""),"",IF(AND($E16&gt;=$D16,$D16&lt;=EDATE(M$8,3)-1,$E16&gt;=M$8),1,""))</x:f>
      </x:c>
      <x:c r="N16" s="25" t="str">
        <x:f>IF(OR($B16="",$D16="",$E16="",N$8=""),"",IF(AND($E16&gt;=$D16,$D16&lt;=EDATE(N$8,3)-1,$E16&gt;=N$8),1,""))</x:f>
      </x:c>
      <x:c r="O16" s="25" t="str">
        <x:f>IF(OR($B16="",$D16="",$E16="",O$8=""),"",IF(AND($E16&gt;=$D16,$D16&lt;=EDATE(O$8,3)-1,$E16&gt;=O$8),1,""))</x:f>
      </x:c>
      <x:c r="P16" s="25" t="str">
        <x:f>IF(OR($B16="",$D16="",$E16="",P$8=""),"",IF(AND($E16&gt;=$D16,$D16&lt;=EDATE(P$8,3)-1,$E16&gt;=P$8),1,""))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IF(OR($B17="",$D17="",$E17="",M$8=""),"",IF(AND($E17&gt;=$D17,$D17&lt;=EDATE(M$8,3)-1,$E17&gt;=M$8),1,""))</x:f>
      </x:c>
      <x:c r="N17" s="25" t="str">
        <x:f>IF(OR($B17="",$D17="",$E17="",N$8=""),"",IF(AND($E17&gt;=$D17,$D17&lt;=EDATE(N$8,3)-1,$E17&gt;=N$8),1,""))</x:f>
      </x:c>
      <x:c r="O17" s="25" t="str">
        <x:f>IF(OR($B17="",$D17="",$E17="",O$8=""),"",IF(AND($E17&gt;=$D17,$D17&lt;=EDATE(O$8,3)-1,$E17&gt;=O$8),1,""))</x:f>
      </x:c>
      <x:c r="P17" s="25" t="str">
        <x:f>IF(OR($B17="",$D17="",$E17="",P$8=""),"",IF(AND($E17&gt;=$D17,$D17&lt;=EDATE(P$8,3)-1,$E17&gt;=P$8),1,""))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IF(OR($B18="",$D18="",$E18="",M$8=""),"",IF(AND($E18&gt;=$D18,$D18&lt;=EDATE(M$8,3)-1,$E18&gt;=M$8),1,""))</x:f>
      </x:c>
      <x:c r="N18" s="25" t="str">
        <x:f>IF(OR($B18="",$D18="",$E18="",N$8=""),"",IF(AND($E18&gt;=$D18,$D18&lt;=EDATE(N$8,3)-1,$E18&gt;=N$8),1,""))</x:f>
      </x:c>
      <x:c r="O18" s="25" t="str">
        <x:f>IF(OR($B18="",$D18="",$E18="",O$8=""),"",IF(AND($E18&gt;=$D18,$D18&lt;=EDATE(O$8,3)-1,$E18&gt;=O$8),1,""))</x:f>
      </x:c>
      <x:c r="P18" s="25" t="str">
        <x:f>IF(OR($B18="",$D18="",$E18="",P$8=""),"",IF(AND($E18&gt;=$D18,$D18&lt;=EDATE(P$8,3)-1,$E18&gt;=P$8),1,""))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IF(OR($B19="",$D19="",$E19="",M$8=""),"",IF(AND($E19&gt;=$D19,$D19&lt;=EDATE(M$8,3)-1,$E19&gt;=M$8),1,""))</x:f>
      </x:c>
      <x:c r="N19" s="25" t="str">
        <x:f>IF(OR($B19="",$D19="",$E19="",N$8=""),"",IF(AND($E19&gt;=$D19,$D19&lt;=EDATE(N$8,3)-1,$E19&gt;=N$8),1,""))</x:f>
      </x:c>
      <x:c r="O19" s="25" t="str">
        <x:f>IF(OR($B19="",$D19="",$E19="",O$8=""),"",IF(AND($E19&gt;=$D19,$D19&lt;=EDATE(O$8,3)-1,$E19&gt;=O$8),1,""))</x:f>
      </x:c>
      <x:c r="P19" s="25" t="str">
        <x:f>IF(OR($B19="",$D19="",$E19="",P$8=""),"",IF(AND($E19&gt;=$D19,$D19&lt;=EDATE(P$8,3)-1,$E19&gt;=P$8),1,""))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IF(OR($B20="",$D20="",$E20="",M$8=""),"",IF(AND($E20&gt;=$D20,$D20&lt;=EDATE(M$8,3)-1,$E20&gt;=M$8),1,""))</x:f>
      </x:c>
      <x:c r="N20" s="25" t="str">
        <x:f>IF(OR($B20="",$D20="",$E20="",N$8=""),"",IF(AND($E20&gt;=$D20,$D20&lt;=EDATE(N$8,3)-1,$E20&gt;=N$8),1,""))</x:f>
      </x:c>
      <x:c r="O20" s="25" t="str">
        <x:f>IF(OR($B20="",$D20="",$E20="",O$8=""),"",IF(AND($E20&gt;=$D20,$D20&lt;=EDATE(O$8,3)-1,$E20&gt;=O$8),1,""))</x:f>
      </x:c>
      <x:c r="P20" s="25" t="str">
        <x:f>IF(OR($B20="",$D20="",$E20="",P$8=""),"",IF(AND($E20&gt;=$D20,$D20&lt;=EDATE(P$8,3)-1,$E20&gt;=P$8),1,""))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IF(OR($B21="",$D21="",$E21="",M$8=""),"",IF(AND($E21&gt;=$D21,$D21&lt;=EDATE(M$8,3)-1,$E21&gt;=M$8),1,""))</x:f>
      </x:c>
      <x:c r="N21" s="25" t="str">
        <x:f>IF(OR($B21="",$D21="",$E21="",N$8=""),"",IF(AND($E21&gt;=$D21,$D21&lt;=EDATE(N$8,3)-1,$E21&gt;=N$8),1,""))</x:f>
      </x:c>
      <x:c r="O21" s="25" t="str">
        <x:f>IF(OR($B21="",$D21="",$E21="",O$8=""),"",IF(AND($E21&gt;=$D21,$D21&lt;=EDATE(O$8,3)-1,$E21&gt;=O$8),1,""))</x:f>
      </x:c>
      <x:c r="P21" s="25" t="str">
        <x:f>IF(OR($B21="",$D21="",$E21="",P$8=""),"",IF(AND($E21&gt;=$D21,$D21&lt;=EDATE(P$8,3)-1,$E21&gt;=P$8),1,""))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</x:sheetData>
  <x:conditionalFormatting sqref="F10:F21">
    <x:cfRule type="expression" dxfId="0" priority="1">
      <x:formula>$F10="A fazer"</x:formula>
    </x:cfRule>
    <x:cfRule type="expression" dxfId="2" priority="3">
      <x:formula>$F10="Em andamento"</x:formula>
    </x:cfRule>
    <x:cfRule type="expression" dxfId="4" priority="5">
      <x:formula>$F10="Em validação"</x:formula>
    </x:cfRule>
    <x:cfRule type="expression" dxfId="6" priority="7">
      <x:formula>$F10="Concluído"</x:formula>
    </x:cfRule>
    <x:cfRule type="expression" dxfId="8" priority="9">
      <x:formula>$F10="Bloqueado"</x:formula>
    </x:cfRule>
    <x:cfRule type="expression" dxfId="10" priority="11">
      <x:formula>$F10="Pausado"</x:formula>
    </x:cfRule>
  </x:conditionalFormatting>
  <x:conditionalFormatting sqref="M10:P21">
    <x:cfRule type="expression" dxfId="1" priority="2">
      <x:formula>AND(M10=1,$F10="A fazer")</x:formula>
    </x:cfRule>
    <x:cfRule type="expression" dxfId="3" priority="4">
      <x:formula>AND(M10=1,$F10="Em andamento")</x:formula>
    </x:cfRule>
    <x:cfRule type="expression" dxfId="5" priority="6">
      <x:formula>AND(M10=1,$F10="Em validação")</x:formula>
    </x:cfRule>
    <x:cfRule type="expression" dxfId="7" priority="8">
      <x:formula>AND(M10=1,$F10="Concluído")</x:formula>
    </x:cfRule>
    <x:cfRule type="expression" dxfId="9" priority="10">
      <x:formula>AND(M10=1,$F10="Bloqueado")</x:formula>
    </x:cfRule>
    <x:cfRule type="expression" dxfId="11" priority="12">
      <x:formula>AND(M10=1,$F10="Pausado")</x:formula>
    </x:cfRule>
    <x:cfRule type="expression" dxfId="12" priority="13">
      <x:formula>AND(M10=1,$F10="")</x:formula>
    </x:cfRule>
  </x:conditionalFormatting>
  <x:conditionalFormatting sqref="K10:K21">
    <x:cfRule type="containsText" dxfId="13" priority="14" operator="containsText" text="Rever datas"/>
    <x:cfRule type="containsText" dxfId="14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008B87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1" customHeight="1">
      <x:c r="A2" s="2"/>
      <x:c r="B2" s="3" t="str">
        <x:v>Portfólio PMO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1" customHeight="1">
      <x:c r="A3" s="2"/>
      <x:c r="B3" s="17" t="str">
        <x:v>Modelo para preencher</x:v>
      </x:c>
      <x:c r="C3" s="2"/>
      <x:c r="D3" s="2"/>
      <x:c r="E3" s="2"/>
      <x:c r="F3" s="2"/>
      <x:c r="G3" s="2"/>
      <x:c r="H3" s="2"/>
      <x:c r="I3" s="16" t="str">
        <x:v>Seis meses com visão de entregas</x:v>
      </x:c>
      <x:c r="J3" s="2"/>
      <x:c r="K3" s="2"/>
      <x:c r="L3" s="2"/>
      <x:c r="M3" s="2"/>
      <x:c r="N3" s="2"/>
      <x:c r="O3" s="2"/>
      <x:c r="P3" s="2"/>
      <x:c r="Q3" s="2"/>
      <x:c r="R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1" customHeight="1">
      <x:c r="A5" s="2"/>
      <x:c r="B5" s="2" t="str">
        <x:v>Data-base</x:v>
      </x:c>
      <x:c r="C5" s="19"/>
      <x:c r="D5" s="2"/>
      <x:c r="E5" s="2"/>
      <x:c r="F5" s="2" t="str">
        <x:v>Data de revisão</x:v>
      </x:c>
      <x:c r="G5" s="19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12 linhas disponíveis</x:v>
      </x:c>
      <x:c r="K7" s="16"/>
      <x:c r="L7" s="2"/>
      <x:c r="M7" s="2"/>
      <x:c r="N7" s="2"/>
      <x:c r="O7" s="2"/>
      <x:c r="P7" s="2"/>
      <x:c r="Q7" s="2"/>
      <x:c r="R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str">
        <x:f>IF($C$5="","",EDATE($C$5,0))</x:f>
      </x:c>
      <x:c r="N8" s="28" t="str">
        <x:f>IF($C$5="","",EDATE($C$5,1))</x:f>
      </x:c>
      <x:c r="O8" s="28" t="str">
        <x:f>IF($C$5="","",EDATE($C$5,2))</x:f>
      </x:c>
      <x:c r="P8" s="28" t="str">
        <x:f>IF($C$5="","",EDATE($C$5,3))</x:f>
      </x:c>
      <x:c r="Q8" s="28" t="str">
        <x:f>IF($C$5="","",EDATE($C$5,4))</x:f>
      </x:c>
      <x:c r="R8" s="28" t="str">
        <x:f>IF($C$5="","",EDATE($C$5,5))</x:f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M1</x:v>
      </x:c>
      <x:c r="N9" s="8" t="str">
        <x:v>M2</x:v>
      </x:c>
      <x:c r="O9" s="8" t="str">
        <x:v>M3</x:v>
      </x:c>
      <x:c r="P9" s="8" t="str">
        <x:v>M4</x:v>
      </x:c>
      <x:c r="Q9" s="8" t="str">
        <x:v>M5</x:v>
      </x:c>
      <x:c r="R9" s="8" t="str">
        <x:v>M6</x:v>
      </x:c>
    </x:row>
    <x:row r="10" ht="43" customHeight="1">
      <x:c r="A10" s="2"/>
      <x:c r="B10" s="20"/>
      <x:c r="C10" s="20"/>
      <x:c r="D10" s="23"/>
      <x:c r="E10" s="23"/>
      <x:c r="F10" s="22"/>
      <x:c r="G10" s="22"/>
      <x:c r="H10" s="20"/>
      <x:c r="I10" s="20"/>
      <x:c r="J10" s="20"/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str">
        <x:f>IF(OR($B10="",$D10="",$E10="",M$8=""),"",IF(AND($E10&gt;=$D10,$D10&lt;=EDATE(M$8,1)-1,$E10&gt;=M$8),1,""))</x:f>
      </x:c>
      <x:c r="N10" s="25" t="str">
        <x:f>IF(OR($B10="",$D10="",$E10="",N$8=""),"",IF(AND($E10&gt;=$D10,$D10&lt;=EDATE(N$8,1)-1,$E10&gt;=N$8),1,""))</x:f>
      </x:c>
      <x:c r="O10" s="25" t="str">
        <x:f>IF(OR($B10="",$D10="",$E10="",O$8=""),"",IF(AND($E10&gt;=$D10,$D10&lt;=EDATE(O$8,1)-1,$E10&gt;=O$8),1,""))</x:f>
      </x:c>
      <x:c r="P10" s="25" t="str">
        <x:f>IF(OR($B10="",$D10="",$E10="",P$8=""),"",IF(AND($E10&gt;=$D10,$D10&lt;=EDATE(P$8,1)-1,$E10&gt;=P$8),1,""))</x:f>
      </x:c>
      <x:c r="Q10" s="25" t="str">
        <x:f>IF(OR($B10="",$D10="",$E10="",Q$8=""),"",IF(AND($E10&gt;=$D10,$D10&lt;=EDATE(Q$8,1)-1,$E10&gt;=Q$8),1,""))</x:f>
      </x:c>
      <x:c r="R10" s="25" t="str">
        <x:f>IF(OR($B10="",$D10="",$E10="",R$8=""),"",IF(AND($E10&gt;=$D10,$D10&lt;=EDATE(R$8,1)-1,$E10&gt;=R$8),1,""))</x:f>
      </x:c>
    </x:row>
    <x:row r="11" ht="43" customHeight="1">
      <x:c r="A11" s="2"/>
      <x:c r="B11" s="20"/>
      <x:c r="C11" s="20"/>
      <x:c r="D11" s="23"/>
      <x:c r="E11" s="23"/>
      <x:c r="F11" s="22"/>
      <x:c r="G11" s="22"/>
      <x:c r="H11" s="20"/>
      <x:c r="I11" s="20"/>
      <x:c r="J11" s="20"/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str">
        <x:f>IF(OR($B11="",$D11="",$E11="",M$8=""),"",IF(AND($E11&gt;=$D11,$D11&lt;=EDATE(M$8,1)-1,$E11&gt;=M$8),1,""))</x:f>
      </x:c>
      <x:c r="N11" s="25" t="str">
        <x:f>IF(OR($B11="",$D11="",$E11="",N$8=""),"",IF(AND($E11&gt;=$D11,$D11&lt;=EDATE(N$8,1)-1,$E11&gt;=N$8),1,""))</x:f>
      </x:c>
      <x:c r="O11" s="25" t="str">
        <x:f>IF(OR($B11="",$D11="",$E11="",O$8=""),"",IF(AND($E11&gt;=$D11,$D11&lt;=EDATE(O$8,1)-1,$E11&gt;=O$8),1,""))</x:f>
      </x:c>
      <x:c r="P11" s="25" t="str">
        <x:f>IF(OR($B11="",$D11="",$E11="",P$8=""),"",IF(AND($E11&gt;=$D11,$D11&lt;=EDATE(P$8,1)-1,$E11&gt;=P$8),1,""))</x:f>
      </x:c>
      <x:c r="Q11" s="25" t="str">
        <x:f>IF(OR($B11="",$D11="",$E11="",Q$8=""),"",IF(AND($E11&gt;=$D11,$D11&lt;=EDATE(Q$8,1)-1,$E11&gt;=Q$8),1,""))</x:f>
      </x:c>
      <x:c r="R11" s="25" t="str">
        <x:f>IF(OR($B11="",$D11="",$E11="",R$8=""),"",IF(AND($E11&gt;=$D11,$D11&lt;=EDATE(R$8,1)-1,$E11&gt;=R$8),1,""))</x:f>
      </x:c>
    </x:row>
    <x:row r="12" ht="43" customHeight="1">
      <x:c r="A12" s="2"/>
      <x:c r="B12" s="20"/>
      <x:c r="C12" s="20"/>
      <x:c r="D12" s="23"/>
      <x:c r="E12" s="23"/>
      <x:c r="F12" s="22"/>
      <x:c r="G12" s="22"/>
      <x:c r="H12" s="20"/>
      <x:c r="I12" s="20"/>
      <x:c r="J12" s="20"/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IF(OR($B12="",$D12="",$E12="",M$8=""),"",IF(AND($E12&gt;=$D12,$D12&lt;=EDATE(M$8,1)-1,$E12&gt;=M$8),1,""))</x:f>
      </x:c>
      <x:c r="N12" s="25" t="str">
        <x:f>IF(OR($B12="",$D12="",$E12="",N$8=""),"",IF(AND($E12&gt;=$D12,$D12&lt;=EDATE(N$8,1)-1,$E12&gt;=N$8),1,""))</x:f>
      </x:c>
      <x:c r="O12" s="25" t="str">
        <x:f>IF(OR($B12="",$D12="",$E12="",O$8=""),"",IF(AND($E12&gt;=$D12,$D12&lt;=EDATE(O$8,1)-1,$E12&gt;=O$8),1,""))</x:f>
      </x:c>
      <x:c r="P12" s="25" t="str">
        <x:f>IF(OR($B12="",$D12="",$E12="",P$8=""),"",IF(AND($E12&gt;=$D12,$D12&lt;=EDATE(P$8,1)-1,$E12&gt;=P$8),1,""))</x:f>
      </x:c>
      <x:c r="Q12" s="25" t="str">
        <x:f>IF(OR($B12="",$D12="",$E12="",Q$8=""),"",IF(AND($E12&gt;=$D12,$D12&lt;=EDATE(Q$8,1)-1,$E12&gt;=Q$8),1,""))</x:f>
      </x:c>
      <x:c r="R12" s="25" t="str">
        <x:f>IF(OR($B12="",$D12="",$E12="",R$8=""),"",IF(AND($E12&gt;=$D12,$D12&lt;=EDATE(R$8,1)-1,$E12&gt;=R$8),1,""))</x:f>
      </x:c>
    </x:row>
    <x:row r="13" ht="43" customHeight="1">
      <x:c r="A13" s="2"/>
      <x:c r="B13" s="20"/>
      <x:c r="C13" s="20"/>
      <x:c r="D13" s="23"/>
      <x:c r="E13" s="23"/>
      <x:c r="F13" s="22"/>
      <x:c r="G13" s="22"/>
      <x:c r="H13" s="20"/>
      <x:c r="I13" s="20"/>
      <x:c r="J13" s="20"/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IF(OR($B13="",$D13="",$E13="",M$8=""),"",IF(AND($E13&gt;=$D13,$D13&lt;=EDATE(M$8,1)-1,$E13&gt;=M$8),1,""))</x:f>
      </x:c>
      <x:c r="N13" s="25" t="str">
        <x:f>IF(OR($B13="",$D13="",$E13="",N$8=""),"",IF(AND($E13&gt;=$D13,$D13&lt;=EDATE(N$8,1)-1,$E13&gt;=N$8),1,""))</x:f>
      </x:c>
      <x:c r="O13" s="25" t="str">
        <x:f>IF(OR($B13="",$D13="",$E13="",O$8=""),"",IF(AND($E13&gt;=$D13,$D13&lt;=EDATE(O$8,1)-1,$E13&gt;=O$8),1,""))</x:f>
      </x:c>
      <x:c r="P13" s="25" t="str">
        <x:f>IF(OR($B13="",$D13="",$E13="",P$8=""),"",IF(AND($E13&gt;=$D13,$D13&lt;=EDATE(P$8,1)-1,$E13&gt;=P$8),1,""))</x:f>
      </x:c>
      <x:c r="Q13" s="25" t="str">
        <x:f>IF(OR($B13="",$D13="",$E13="",Q$8=""),"",IF(AND($E13&gt;=$D13,$D13&lt;=EDATE(Q$8,1)-1,$E13&gt;=Q$8),1,""))</x:f>
      </x:c>
      <x:c r="R13" s="25" t="str">
        <x:f>IF(OR($B13="",$D13="",$E13="",R$8=""),"",IF(AND($E13&gt;=$D13,$D13&lt;=EDATE(R$8,1)-1,$E13&gt;=R$8),1,""))</x:f>
      </x:c>
    </x:row>
    <x:row r="14" ht="43" customHeight="1">
      <x:c r="A14" s="2"/>
      <x:c r="B14" s="20"/>
      <x:c r="C14" s="20"/>
      <x:c r="D14" s="23"/>
      <x:c r="E14" s="23"/>
      <x:c r="F14" s="22"/>
      <x:c r="G14" s="22"/>
      <x:c r="H14" s="20"/>
      <x:c r="I14" s="20"/>
      <x:c r="J14" s="20"/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IF(OR($B14="",$D14="",$E14="",M$8=""),"",IF(AND($E14&gt;=$D14,$D14&lt;=EDATE(M$8,1)-1,$E14&gt;=M$8),1,""))</x:f>
      </x:c>
      <x:c r="N14" s="25" t="str">
        <x:f>IF(OR($B14="",$D14="",$E14="",N$8=""),"",IF(AND($E14&gt;=$D14,$D14&lt;=EDATE(N$8,1)-1,$E14&gt;=N$8),1,""))</x:f>
      </x:c>
      <x:c r="O14" s="25" t="str">
        <x:f>IF(OR($B14="",$D14="",$E14="",O$8=""),"",IF(AND($E14&gt;=$D14,$D14&lt;=EDATE(O$8,1)-1,$E14&gt;=O$8),1,""))</x:f>
      </x:c>
      <x:c r="P14" s="25" t="str">
        <x:f>IF(OR($B14="",$D14="",$E14="",P$8=""),"",IF(AND($E14&gt;=$D14,$D14&lt;=EDATE(P$8,1)-1,$E14&gt;=P$8),1,""))</x:f>
      </x:c>
      <x:c r="Q14" s="25" t="str">
        <x:f>IF(OR($B14="",$D14="",$E14="",Q$8=""),"",IF(AND($E14&gt;=$D14,$D14&lt;=EDATE(Q$8,1)-1,$E14&gt;=Q$8),1,""))</x:f>
      </x:c>
      <x:c r="R14" s="25" t="str">
        <x:f>IF(OR($B14="",$D14="",$E14="",R$8=""),"",IF(AND($E14&gt;=$D14,$D14&lt;=EDATE(R$8,1)-1,$E14&gt;=R$8),1,""))</x:f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IF(OR($B15="",$D15="",$E15="",M$8=""),"",IF(AND($E15&gt;=$D15,$D15&lt;=EDATE(M$8,1)-1,$E15&gt;=M$8),1,""))</x:f>
      </x:c>
      <x:c r="N15" s="25" t="str">
        <x:f>IF(OR($B15="",$D15="",$E15="",N$8=""),"",IF(AND($E15&gt;=$D15,$D15&lt;=EDATE(N$8,1)-1,$E15&gt;=N$8),1,""))</x:f>
      </x:c>
      <x:c r="O15" s="25" t="str">
        <x:f>IF(OR($B15="",$D15="",$E15="",O$8=""),"",IF(AND($E15&gt;=$D15,$D15&lt;=EDATE(O$8,1)-1,$E15&gt;=O$8),1,""))</x:f>
      </x:c>
      <x:c r="P15" s="25" t="str">
        <x:f>IF(OR($B15="",$D15="",$E15="",P$8=""),"",IF(AND($E15&gt;=$D15,$D15&lt;=EDATE(P$8,1)-1,$E15&gt;=P$8),1,""))</x:f>
      </x:c>
      <x:c r="Q15" s="25" t="str">
        <x:f>IF(OR($B15="",$D15="",$E15="",Q$8=""),"",IF(AND($E15&gt;=$D15,$D15&lt;=EDATE(Q$8,1)-1,$E15&gt;=Q$8),1,""))</x:f>
      </x:c>
      <x:c r="R15" s="25" t="str">
        <x:f>IF(OR($B15="",$D15="",$E15="",R$8=""),"",IF(AND($E15&gt;=$D15,$D15&lt;=EDATE(R$8,1)-1,$E15&gt;=R$8),1,""))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IF(OR($B16="",$D16="",$E16="",M$8=""),"",IF(AND($E16&gt;=$D16,$D16&lt;=EDATE(M$8,1)-1,$E16&gt;=M$8),1,""))</x:f>
      </x:c>
      <x:c r="N16" s="25" t="str">
        <x:f>IF(OR($B16="",$D16="",$E16="",N$8=""),"",IF(AND($E16&gt;=$D16,$D16&lt;=EDATE(N$8,1)-1,$E16&gt;=N$8),1,""))</x:f>
      </x:c>
      <x:c r="O16" s="25" t="str">
        <x:f>IF(OR($B16="",$D16="",$E16="",O$8=""),"",IF(AND($E16&gt;=$D16,$D16&lt;=EDATE(O$8,1)-1,$E16&gt;=O$8),1,""))</x:f>
      </x:c>
      <x:c r="P16" s="25" t="str">
        <x:f>IF(OR($B16="",$D16="",$E16="",P$8=""),"",IF(AND($E16&gt;=$D16,$D16&lt;=EDATE(P$8,1)-1,$E16&gt;=P$8),1,""))</x:f>
      </x:c>
      <x:c r="Q16" s="25" t="str">
        <x:f>IF(OR($B16="",$D16="",$E16="",Q$8=""),"",IF(AND($E16&gt;=$D16,$D16&lt;=EDATE(Q$8,1)-1,$E16&gt;=Q$8),1,""))</x:f>
      </x:c>
      <x:c r="R16" s="25" t="str">
        <x:f>IF(OR($B16="",$D16="",$E16="",R$8=""),"",IF(AND($E16&gt;=$D16,$D16&lt;=EDATE(R$8,1)-1,$E16&gt;=R$8),1,""))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IF(OR($B17="",$D17="",$E17="",M$8=""),"",IF(AND($E17&gt;=$D17,$D17&lt;=EDATE(M$8,1)-1,$E17&gt;=M$8),1,""))</x:f>
      </x:c>
      <x:c r="N17" s="25" t="str">
        <x:f>IF(OR($B17="",$D17="",$E17="",N$8=""),"",IF(AND($E17&gt;=$D17,$D17&lt;=EDATE(N$8,1)-1,$E17&gt;=N$8),1,""))</x:f>
      </x:c>
      <x:c r="O17" s="25" t="str">
        <x:f>IF(OR($B17="",$D17="",$E17="",O$8=""),"",IF(AND($E17&gt;=$D17,$D17&lt;=EDATE(O$8,1)-1,$E17&gt;=O$8),1,""))</x:f>
      </x:c>
      <x:c r="P17" s="25" t="str">
        <x:f>IF(OR($B17="",$D17="",$E17="",P$8=""),"",IF(AND($E17&gt;=$D17,$D17&lt;=EDATE(P$8,1)-1,$E17&gt;=P$8),1,""))</x:f>
      </x:c>
      <x:c r="Q17" s="25" t="str">
        <x:f>IF(OR($B17="",$D17="",$E17="",Q$8=""),"",IF(AND($E17&gt;=$D17,$D17&lt;=EDATE(Q$8,1)-1,$E17&gt;=Q$8),1,""))</x:f>
      </x:c>
      <x:c r="R17" s="25" t="str">
        <x:f>IF(OR($B17="",$D17="",$E17="",R$8=""),"",IF(AND($E17&gt;=$D17,$D17&lt;=EDATE(R$8,1)-1,$E17&gt;=R$8),1,""))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IF(OR($B18="",$D18="",$E18="",M$8=""),"",IF(AND($E18&gt;=$D18,$D18&lt;=EDATE(M$8,1)-1,$E18&gt;=M$8),1,""))</x:f>
      </x:c>
      <x:c r="N18" s="25" t="str">
        <x:f>IF(OR($B18="",$D18="",$E18="",N$8=""),"",IF(AND($E18&gt;=$D18,$D18&lt;=EDATE(N$8,1)-1,$E18&gt;=N$8),1,""))</x:f>
      </x:c>
      <x:c r="O18" s="25" t="str">
        <x:f>IF(OR($B18="",$D18="",$E18="",O$8=""),"",IF(AND($E18&gt;=$D18,$D18&lt;=EDATE(O$8,1)-1,$E18&gt;=O$8),1,""))</x:f>
      </x:c>
      <x:c r="P18" s="25" t="str">
        <x:f>IF(OR($B18="",$D18="",$E18="",P$8=""),"",IF(AND($E18&gt;=$D18,$D18&lt;=EDATE(P$8,1)-1,$E18&gt;=P$8),1,""))</x:f>
      </x:c>
      <x:c r="Q18" s="25" t="str">
        <x:f>IF(OR($B18="",$D18="",$E18="",Q$8=""),"",IF(AND($E18&gt;=$D18,$D18&lt;=EDATE(Q$8,1)-1,$E18&gt;=Q$8),1,""))</x:f>
      </x:c>
      <x:c r="R18" s="25" t="str">
        <x:f>IF(OR($B18="",$D18="",$E18="",R$8=""),"",IF(AND($E18&gt;=$D18,$D18&lt;=EDATE(R$8,1)-1,$E18&gt;=R$8),1,""))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IF(OR($B19="",$D19="",$E19="",M$8=""),"",IF(AND($E19&gt;=$D19,$D19&lt;=EDATE(M$8,1)-1,$E19&gt;=M$8),1,""))</x:f>
      </x:c>
      <x:c r="N19" s="25" t="str">
        <x:f>IF(OR($B19="",$D19="",$E19="",N$8=""),"",IF(AND($E19&gt;=$D19,$D19&lt;=EDATE(N$8,1)-1,$E19&gt;=N$8),1,""))</x:f>
      </x:c>
      <x:c r="O19" s="25" t="str">
        <x:f>IF(OR($B19="",$D19="",$E19="",O$8=""),"",IF(AND($E19&gt;=$D19,$D19&lt;=EDATE(O$8,1)-1,$E19&gt;=O$8),1,""))</x:f>
      </x:c>
      <x:c r="P19" s="25" t="str">
        <x:f>IF(OR($B19="",$D19="",$E19="",P$8=""),"",IF(AND($E19&gt;=$D19,$D19&lt;=EDATE(P$8,1)-1,$E19&gt;=P$8),1,""))</x:f>
      </x:c>
      <x:c r="Q19" s="25" t="str">
        <x:f>IF(OR($B19="",$D19="",$E19="",Q$8=""),"",IF(AND($E19&gt;=$D19,$D19&lt;=EDATE(Q$8,1)-1,$E19&gt;=Q$8),1,""))</x:f>
      </x:c>
      <x:c r="R19" s="25" t="str">
        <x:f>IF(OR($B19="",$D19="",$E19="",R$8=""),"",IF(AND($E19&gt;=$D19,$D19&lt;=EDATE(R$8,1)-1,$E19&gt;=R$8),1,""))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IF(OR($B20="",$D20="",$E20="",M$8=""),"",IF(AND($E20&gt;=$D20,$D20&lt;=EDATE(M$8,1)-1,$E20&gt;=M$8),1,""))</x:f>
      </x:c>
      <x:c r="N20" s="25" t="str">
        <x:f>IF(OR($B20="",$D20="",$E20="",N$8=""),"",IF(AND($E20&gt;=$D20,$D20&lt;=EDATE(N$8,1)-1,$E20&gt;=N$8),1,""))</x:f>
      </x:c>
      <x:c r="O20" s="25" t="str">
        <x:f>IF(OR($B20="",$D20="",$E20="",O$8=""),"",IF(AND($E20&gt;=$D20,$D20&lt;=EDATE(O$8,1)-1,$E20&gt;=O$8),1,""))</x:f>
      </x:c>
      <x:c r="P20" s="25" t="str">
        <x:f>IF(OR($B20="",$D20="",$E20="",P$8=""),"",IF(AND($E20&gt;=$D20,$D20&lt;=EDATE(P$8,1)-1,$E20&gt;=P$8),1,""))</x:f>
      </x:c>
      <x:c r="Q20" s="25" t="str">
        <x:f>IF(OR($B20="",$D20="",$E20="",Q$8=""),"",IF(AND($E20&gt;=$D20,$D20&lt;=EDATE(Q$8,1)-1,$E20&gt;=Q$8),1,""))</x:f>
      </x:c>
      <x:c r="R20" s="25" t="str">
        <x:f>IF(OR($B20="",$D20="",$E20="",R$8=""),"",IF(AND($E20&gt;=$D20,$D20&lt;=EDATE(R$8,1)-1,$E20&gt;=R$8),1,""))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IF(OR($B21="",$D21="",$E21="",M$8=""),"",IF(AND($E21&gt;=$D21,$D21&lt;=EDATE(M$8,1)-1,$E21&gt;=M$8),1,""))</x:f>
      </x:c>
      <x:c r="N21" s="25" t="str">
        <x:f>IF(OR($B21="",$D21="",$E21="",N$8=""),"",IF(AND($E21&gt;=$D21,$D21&lt;=EDATE(N$8,1)-1,$E21&gt;=N$8),1,""))</x:f>
      </x:c>
      <x:c r="O21" s="25" t="str">
        <x:f>IF(OR($B21="",$D21="",$E21="",O$8=""),"",IF(AND($E21&gt;=$D21,$D21&lt;=EDATE(O$8,1)-1,$E21&gt;=O$8),1,""))</x:f>
      </x:c>
      <x:c r="P21" s="25" t="str">
        <x:f>IF(OR($B21="",$D21="",$E21="",P$8=""),"",IF(AND($E21&gt;=$D21,$D21&lt;=EDATE(P$8,1)-1,$E21&gt;=P$8),1,""))</x:f>
      </x:c>
      <x:c r="Q21" s="25" t="str">
        <x:f>IF(OR($B21="",$D21="",$E21="",Q$8=""),"",IF(AND($E21&gt;=$D21,$D21&lt;=EDATE(Q$8,1)-1,$E21&gt;=Q$8),1,""))</x:f>
      </x:c>
      <x:c r="R21" s="25" t="str">
        <x:f>IF(OR($B21="",$D21="",$E21="",R$8=""),"",IF(AND($E21&gt;=$D21,$D21&lt;=EDATE(R$8,1)-1,$E21&gt;=R$8),1,""))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</x:sheetData>
  <x:conditionalFormatting sqref="F10:F21">
    <x:cfRule type="expression" dxfId="15" priority="1">
      <x:formula>$F10="A fazer"</x:formula>
    </x:cfRule>
    <x:cfRule type="expression" dxfId="17" priority="3">
      <x:formula>$F10="Em andamento"</x:formula>
    </x:cfRule>
    <x:cfRule type="expression" dxfId="19" priority="5">
      <x:formula>$F10="Em validação"</x:formula>
    </x:cfRule>
    <x:cfRule type="expression" dxfId="21" priority="7">
      <x:formula>$F10="Concluído"</x:formula>
    </x:cfRule>
    <x:cfRule type="expression" dxfId="23" priority="9">
      <x:formula>$F10="Bloqueado"</x:formula>
    </x:cfRule>
    <x:cfRule type="expression" dxfId="25" priority="11">
      <x:formula>$F10="Pausado"</x:formula>
    </x:cfRule>
  </x:conditionalFormatting>
  <x:conditionalFormatting sqref="M10:R21">
    <x:cfRule type="expression" dxfId="16" priority="2">
      <x:formula>AND(M10=1,$F10="A fazer")</x:formula>
    </x:cfRule>
    <x:cfRule type="expression" dxfId="18" priority="4">
      <x:formula>AND(M10=1,$F10="Em andamento")</x:formula>
    </x:cfRule>
    <x:cfRule type="expression" dxfId="20" priority="6">
      <x:formula>AND(M10=1,$F10="Em validação")</x:formula>
    </x:cfRule>
    <x:cfRule type="expression" dxfId="22" priority="8">
      <x:formula>AND(M10=1,$F10="Concluído")</x:formula>
    </x:cfRule>
    <x:cfRule type="expression" dxfId="24" priority="10">
      <x:formula>AND(M10=1,$F10="Bloqueado")</x:formula>
    </x:cfRule>
    <x:cfRule type="expression" dxfId="26" priority="12">
      <x:formula>AND(M10=1,$F10="Pausado")</x:formula>
    </x:cfRule>
    <x:cfRule type="expression" dxfId="27" priority="13">
      <x:formula>AND(M10=1,$F10="")</x:formula>
    </x:cfRule>
  </x:conditionalFormatting>
  <x:conditionalFormatting sqref="K10:K21">
    <x:cfRule type="containsText" dxfId="28" priority="14" operator="containsText" text="Rever datas"/>
    <x:cfRule type="containsText" dxfId="29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008B87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6.889999866485596" hidden="0" customWidth="1"/>
    <x:col min="14" max="14" width="6.889999866485596" hidden="0" customWidth="1"/>
    <x:col min="15" max="15" width="6.889999866485596" hidden="0" customWidth="1"/>
    <x:col min="16" max="16" width="6.889999866485596" hidden="0" customWidth="1"/>
    <x:col min="17" max="17" width="6.889999866485596" hidden="0" customWidth="1"/>
    <x:col min="18" max="18" width="6.889999866485596" hidden="0" customWidth="1"/>
    <x:col min="19" max="19" width="6.889999866485596" hidden="0" customWidth="1"/>
    <x:col min="20" max="20" width="6.889999866485596" hidden="0" customWidth="1"/>
    <x:col min="21" max="21" width="6.889999866485596" hidden="0" customWidth="1"/>
    <x:col min="22" max="22" width="6.889999866485596" hidden="0" customWidth="1"/>
    <x:col min="23" max="23" width="6.889999866485596" hidden="0" customWidth="1"/>
    <x:col min="24" max="24" width="6.889999866485596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</x:row>
    <x:row r="2" ht="21" customHeight="1">
      <x:c r="A2" s="2"/>
      <x:c r="B2" s="3" t="str">
        <x:v>Implantação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 ht="21" customHeight="1">
      <x:c r="A3" s="2"/>
      <x:c r="B3" s="17" t="str">
        <x:v>Modelo para preencher</x:v>
      </x:c>
      <x:c r="C3" s="2"/>
      <x:c r="D3" s="2"/>
      <x:c r="E3" s="2"/>
      <x:c r="F3" s="2"/>
      <x:c r="G3" s="2"/>
      <x:c r="H3" s="2"/>
      <x:c r="I3" s="16" t="str">
        <x:v>12 semanas de preparação e transição</x:v>
      </x:c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</x:row>
    <x:row r="5" ht="21" customHeight="1">
      <x:c r="A5" s="2"/>
      <x:c r="B5" s="2" t="str">
        <x:v>Data-base</x:v>
      </x:c>
      <x:c r="C5" s="19"/>
      <x:c r="D5" s="2"/>
      <x:c r="E5" s="2"/>
      <x:c r="F5" s="2" t="str">
        <x:v>Data de revisão</x:v>
      </x:c>
      <x:c r="G5" s="19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12 linhas disponíveis</x:v>
      </x:c>
      <x:c r="K7" s="16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str">
        <x:f>IF($C$5="","",$C$5+0)</x:f>
      </x:c>
      <x:c r="N8" s="28" t="str">
        <x:f>IF($C$5="","",$C$5+7)</x:f>
      </x:c>
      <x:c r="O8" s="28" t="str">
        <x:f>IF($C$5="","",$C$5+14)</x:f>
      </x:c>
      <x:c r="P8" s="28" t="str">
        <x:f>IF($C$5="","",$C$5+21)</x:f>
      </x:c>
      <x:c r="Q8" s="28" t="str">
        <x:f>IF($C$5="","",$C$5+28)</x:f>
      </x:c>
      <x:c r="R8" s="28" t="str">
        <x:f>IF($C$5="","",$C$5+35)</x:f>
      </x:c>
      <x:c r="S8" s="28" t="str">
        <x:f>IF($C$5="","",$C$5+42)</x:f>
      </x:c>
      <x:c r="T8" s="28" t="str">
        <x:f>IF($C$5="","",$C$5+49)</x:f>
      </x:c>
      <x:c r="U8" s="28" t="str">
        <x:f>IF($C$5="","",$C$5+56)</x:f>
      </x:c>
      <x:c r="V8" s="28" t="str">
        <x:f>IF($C$5="","",$C$5+63)</x:f>
      </x:c>
      <x:c r="W8" s="28" t="str">
        <x:f>IF($C$5="","",$C$5+70)</x:f>
      </x:c>
      <x:c r="X8" s="28" t="str">
        <x:f>IF($C$5="","",$C$5+77)</x:f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S1</x:v>
      </x:c>
      <x:c r="N9" s="8" t="str">
        <x:v>S2</x:v>
      </x:c>
      <x:c r="O9" s="8" t="str">
        <x:v>S3</x:v>
      </x:c>
      <x:c r="P9" s="8" t="str">
        <x:v>S4</x:v>
      </x:c>
      <x:c r="Q9" s="8" t="str">
        <x:v>S5</x:v>
      </x:c>
      <x:c r="R9" s="8" t="str">
        <x:v>S6</x:v>
      </x:c>
      <x:c r="S9" s="8" t="str">
        <x:v>S7</x:v>
      </x:c>
      <x:c r="T9" s="8" t="str">
        <x:v>S8</x:v>
      </x:c>
      <x:c r="U9" s="8" t="str">
        <x:v>S9</x:v>
      </x:c>
      <x:c r="V9" s="8" t="str">
        <x:v>S10</x:v>
      </x:c>
      <x:c r="W9" s="8" t="str">
        <x:v>S11</x:v>
      </x:c>
      <x:c r="X9" s="8" t="str">
        <x:v>S12</x:v>
      </x:c>
    </x:row>
    <x:row r="10" ht="43" customHeight="1">
      <x:c r="A10" s="2"/>
      <x:c r="B10" s="20"/>
      <x:c r="C10" s="20"/>
      <x:c r="D10" s="23"/>
      <x:c r="E10" s="23"/>
      <x:c r="F10" s="22"/>
      <x:c r="G10" s="22"/>
      <x:c r="H10" s="20"/>
      <x:c r="I10" s="20"/>
      <x:c r="J10" s="20"/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str">
        <x:f>IF(OR($B10="",$D10="",$E10="",M$8=""),"",IF(AND($E10&gt;=$D10,$D10&lt;=M$8+6,$E10&gt;=M$8),1,""))</x:f>
      </x:c>
      <x:c r="N10" s="25" t="str">
        <x:f>IF(OR($B10="",$D10="",$E10="",N$8=""),"",IF(AND($E10&gt;=$D10,$D10&lt;=N$8+6,$E10&gt;=N$8),1,""))</x:f>
      </x:c>
      <x:c r="O10" s="25" t="str">
        <x:f>IF(OR($B10="",$D10="",$E10="",O$8=""),"",IF(AND($E10&gt;=$D10,$D10&lt;=O$8+6,$E10&gt;=O$8),1,""))</x:f>
      </x:c>
      <x:c r="P10" s="25" t="str">
        <x:f>IF(OR($B10="",$D10="",$E10="",P$8=""),"",IF(AND($E10&gt;=$D10,$D10&lt;=P$8+6,$E10&gt;=P$8),1,""))</x:f>
      </x:c>
      <x:c r="Q10" s="25" t="str">
        <x:f>IF(OR($B10="",$D10="",$E10="",Q$8=""),"",IF(AND($E10&gt;=$D10,$D10&lt;=Q$8+6,$E10&gt;=Q$8),1,""))</x:f>
      </x:c>
      <x:c r="R10" s="25" t="str">
        <x:f>IF(OR($B10="",$D10="",$E10="",R$8=""),"",IF(AND($E10&gt;=$D10,$D10&lt;=R$8+6,$E10&gt;=R$8),1,""))</x:f>
      </x:c>
      <x:c r="S10" s="25" t="str">
        <x:f>IF(OR($B10="",$D10="",$E10="",S$8=""),"",IF(AND($E10&gt;=$D10,$D10&lt;=S$8+6,$E10&gt;=S$8),1,""))</x:f>
      </x:c>
      <x:c r="T10" s="25" t="str">
        <x:f>IF(OR($B10="",$D10="",$E10="",T$8=""),"",IF(AND($E10&gt;=$D10,$D10&lt;=T$8+6,$E10&gt;=T$8),1,""))</x:f>
      </x:c>
      <x:c r="U10" s="25" t="str">
        <x:f>IF(OR($B10="",$D10="",$E10="",U$8=""),"",IF(AND($E10&gt;=$D10,$D10&lt;=U$8+6,$E10&gt;=U$8),1,""))</x:f>
      </x:c>
      <x:c r="V10" s="25" t="str">
        <x:f>IF(OR($B10="",$D10="",$E10="",V$8=""),"",IF(AND($E10&gt;=$D10,$D10&lt;=V$8+6,$E10&gt;=V$8),1,""))</x:f>
      </x:c>
      <x:c r="W10" s="25" t="str">
        <x:f>IF(OR($B10="",$D10="",$E10="",W$8=""),"",IF(AND($E10&gt;=$D10,$D10&lt;=W$8+6,$E10&gt;=W$8),1,""))</x:f>
      </x:c>
      <x:c r="X10" s="25" t="str">
        <x:f>IF(OR($B10="",$D10="",$E10="",X$8=""),"",IF(AND($E10&gt;=$D10,$D10&lt;=X$8+6,$E10&gt;=X$8),1,""))</x:f>
      </x:c>
    </x:row>
    <x:row r="11" ht="43" customHeight="1">
      <x:c r="A11" s="2"/>
      <x:c r="B11" s="20"/>
      <x:c r="C11" s="20"/>
      <x:c r="D11" s="23"/>
      <x:c r="E11" s="23"/>
      <x:c r="F11" s="22"/>
      <x:c r="G11" s="22"/>
      <x:c r="H11" s="20"/>
      <x:c r="I11" s="20"/>
      <x:c r="J11" s="20"/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str">
        <x:f>IF(OR($B11="",$D11="",$E11="",M$8=""),"",IF(AND($E11&gt;=$D11,$D11&lt;=M$8+6,$E11&gt;=M$8),1,""))</x:f>
      </x:c>
      <x:c r="N11" s="25" t="str">
        <x:f>IF(OR($B11="",$D11="",$E11="",N$8=""),"",IF(AND($E11&gt;=$D11,$D11&lt;=N$8+6,$E11&gt;=N$8),1,""))</x:f>
      </x:c>
      <x:c r="O11" s="25" t="str">
        <x:f>IF(OR($B11="",$D11="",$E11="",O$8=""),"",IF(AND($E11&gt;=$D11,$D11&lt;=O$8+6,$E11&gt;=O$8),1,""))</x:f>
      </x:c>
      <x:c r="P11" s="25" t="str">
        <x:f>IF(OR($B11="",$D11="",$E11="",P$8=""),"",IF(AND($E11&gt;=$D11,$D11&lt;=P$8+6,$E11&gt;=P$8),1,""))</x:f>
      </x:c>
      <x:c r="Q11" s="25" t="str">
        <x:f>IF(OR($B11="",$D11="",$E11="",Q$8=""),"",IF(AND($E11&gt;=$D11,$D11&lt;=Q$8+6,$E11&gt;=Q$8),1,""))</x:f>
      </x:c>
      <x:c r="R11" s="25" t="str">
        <x:f>IF(OR($B11="",$D11="",$E11="",R$8=""),"",IF(AND($E11&gt;=$D11,$D11&lt;=R$8+6,$E11&gt;=R$8),1,""))</x:f>
      </x:c>
      <x:c r="S11" s="25" t="str">
        <x:f>IF(OR($B11="",$D11="",$E11="",S$8=""),"",IF(AND($E11&gt;=$D11,$D11&lt;=S$8+6,$E11&gt;=S$8),1,""))</x:f>
      </x:c>
      <x:c r="T11" s="25" t="str">
        <x:f>IF(OR($B11="",$D11="",$E11="",T$8=""),"",IF(AND($E11&gt;=$D11,$D11&lt;=T$8+6,$E11&gt;=T$8),1,""))</x:f>
      </x:c>
      <x:c r="U11" s="25" t="str">
        <x:f>IF(OR($B11="",$D11="",$E11="",U$8=""),"",IF(AND($E11&gt;=$D11,$D11&lt;=U$8+6,$E11&gt;=U$8),1,""))</x:f>
      </x:c>
      <x:c r="V11" s="25" t="str">
        <x:f>IF(OR($B11="",$D11="",$E11="",V$8=""),"",IF(AND($E11&gt;=$D11,$D11&lt;=V$8+6,$E11&gt;=V$8),1,""))</x:f>
      </x:c>
      <x:c r="W11" s="25" t="str">
        <x:f>IF(OR($B11="",$D11="",$E11="",W$8=""),"",IF(AND($E11&gt;=$D11,$D11&lt;=W$8+6,$E11&gt;=W$8),1,""))</x:f>
      </x:c>
      <x:c r="X11" s="25" t="str">
        <x:f>IF(OR($B11="",$D11="",$E11="",X$8=""),"",IF(AND($E11&gt;=$D11,$D11&lt;=X$8+6,$E11&gt;=X$8),1,""))</x:f>
      </x:c>
    </x:row>
    <x:row r="12" ht="43" customHeight="1">
      <x:c r="A12" s="2"/>
      <x:c r="B12" s="20"/>
      <x:c r="C12" s="20"/>
      <x:c r="D12" s="23"/>
      <x:c r="E12" s="23"/>
      <x:c r="F12" s="22"/>
      <x:c r="G12" s="22"/>
      <x:c r="H12" s="20"/>
      <x:c r="I12" s="20"/>
      <x:c r="J12" s="20"/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IF(OR($B12="",$D12="",$E12="",M$8=""),"",IF(AND($E12&gt;=$D12,$D12&lt;=M$8+6,$E12&gt;=M$8),1,""))</x:f>
      </x:c>
      <x:c r="N12" s="25" t="str">
        <x:f>IF(OR($B12="",$D12="",$E12="",N$8=""),"",IF(AND($E12&gt;=$D12,$D12&lt;=N$8+6,$E12&gt;=N$8),1,""))</x:f>
      </x:c>
      <x:c r="O12" s="25" t="str">
        <x:f>IF(OR($B12="",$D12="",$E12="",O$8=""),"",IF(AND($E12&gt;=$D12,$D12&lt;=O$8+6,$E12&gt;=O$8),1,""))</x:f>
      </x:c>
      <x:c r="P12" s="25" t="str">
        <x:f>IF(OR($B12="",$D12="",$E12="",P$8=""),"",IF(AND($E12&gt;=$D12,$D12&lt;=P$8+6,$E12&gt;=P$8),1,""))</x:f>
      </x:c>
      <x:c r="Q12" s="25" t="str">
        <x:f>IF(OR($B12="",$D12="",$E12="",Q$8=""),"",IF(AND($E12&gt;=$D12,$D12&lt;=Q$8+6,$E12&gt;=Q$8),1,""))</x:f>
      </x:c>
      <x:c r="R12" s="25" t="str">
        <x:f>IF(OR($B12="",$D12="",$E12="",R$8=""),"",IF(AND($E12&gt;=$D12,$D12&lt;=R$8+6,$E12&gt;=R$8),1,""))</x:f>
      </x:c>
      <x:c r="S12" s="25" t="str">
        <x:f>IF(OR($B12="",$D12="",$E12="",S$8=""),"",IF(AND($E12&gt;=$D12,$D12&lt;=S$8+6,$E12&gt;=S$8),1,""))</x:f>
      </x:c>
      <x:c r="T12" s="25" t="str">
        <x:f>IF(OR($B12="",$D12="",$E12="",T$8=""),"",IF(AND($E12&gt;=$D12,$D12&lt;=T$8+6,$E12&gt;=T$8),1,""))</x:f>
      </x:c>
      <x:c r="U12" s="25" t="str">
        <x:f>IF(OR($B12="",$D12="",$E12="",U$8=""),"",IF(AND($E12&gt;=$D12,$D12&lt;=U$8+6,$E12&gt;=U$8),1,""))</x:f>
      </x:c>
      <x:c r="V12" s="25" t="str">
        <x:f>IF(OR($B12="",$D12="",$E12="",V$8=""),"",IF(AND($E12&gt;=$D12,$D12&lt;=V$8+6,$E12&gt;=V$8),1,""))</x:f>
      </x:c>
      <x:c r="W12" s="25" t="str">
        <x:f>IF(OR($B12="",$D12="",$E12="",W$8=""),"",IF(AND($E12&gt;=$D12,$D12&lt;=W$8+6,$E12&gt;=W$8),1,""))</x:f>
      </x:c>
      <x:c r="X12" s="25" t="str">
        <x:f>IF(OR($B12="",$D12="",$E12="",X$8=""),"",IF(AND($E12&gt;=$D12,$D12&lt;=X$8+6,$E12&gt;=X$8),1,""))</x:f>
      </x:c>
    </x:row>
    <x:row r="13" ht="43" customHeight="1">
      <x:c r="A13" s="2"/>
      <x:c r="B13" s="20"/>
      <x:c r="C13" s="20"/>
      <x:c r="D13" s="23"/>
      <x:c r="E13" s="23"/>
      <x:c r="F13" s="22"/>
      <x:c r="G13" s="22"/>
      <x:c r="H13" s="20"/>
      <x:c r="I13" s="20"/>
      <x:c r="J13" s="20"/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IF(OR($B13="",$D13="",$E13="",M$8=""),"",IF(AND($E13&gt;=$D13,$D13&lt;=M$8+6,$E13&gt;=M$8),1,""))</x:f>
      </x:c>
      <x:c r="N13" s="25" t="str">
        <x:f>IF(OR($B13="",$D13="",$E13="",N$8=""),"",IF(AND($E13&gt;=$D13,$D13&lt;=N$8+6,$E13&gt;=N$8),1,""))</x:f>
      </x:c>
      <x:c r="O13" s="25" t="str">
        <x:f>IF(OR($B13="",$D13="",$E13="",O$8=""),"",IF(AND($E13&gt;=$D13,$D13&lt;=O$8+6,$E13&gt;=O$8),1,""))</x:f>
      </x:c>
      <x:c r="P13" s="25" t="str">
        <x:f>IF(OR($B13="",$D13="",$E13="",P$8=""),"",IF(AND($E13&gt;=$D13,$D13&lt;=P$8+6,$E13&gt;=P$8),1,""))</x:f>
      </x:c>
      <x:c r="Q13" s="25" t="str">
        <x:f>IF(OR($B13="",$D13="",$E13="",Q$8=""),"",IF(AND($E13&gt;=$D13,$D13&lt;=Q$8+6,$E13&gt;=Q$8),1,""))</x:f>
      </x:c>
      <x:c r="R13" s="25" t="str">
        <x:f>IF(OR($B13="",$D13="",$E13="",R$8=""),"",IF(AND($E13&gt;=$D13,$D13&lt;=R$8+6,$E13&gt;=R$8),1,""))</x:f>
      </x:c>
      <x:c r="S13" s="25" t="str">
        <x:f>IF(OR($B13="",$D13="",$E13="",S$8=""),"",IF(AND($E13&gt;=$D13,$D13&lt;=S$8+6,$E13&gt;=S$8),1,""))</x:f>
      </x:c>
      <x:c r="T13" s="25" t="str">
        <x:f>IF(OR($B13="",$D13="",$E13="",T$8=""),"",IF(AND($E13&gt;=$D13,$D13&lt;=T$8+6,$E13&gt;=T$8),1,""))</x:f>
      </x:c>
      <x:c r="U13" s="25" t="str">
        <x:f>IF(OR($B13="",$D13="",$E13="",U$8=""),"",IF(AND($E13&gt;=$D13,$D13&lt;=U$8+6,$E13&gt;=U$8),1,""))</x:f>
      </x:c>
      <x:c r="V13" s="25" t="str">
        <x:f>IF(OR($B13="",$D13="",$E13="",V$8=""),"",IF(AND($E13&gt;=$D13,$D13&lt;=V$8+6,$E13&gt;=V$8),1,""))</x:f>
      </x:c>
      <x:c r="W13" s="25" t="str">
        <x:f>IF(OR($B13="",$D13="",$E13="",W$8=""),"",IF(AND($E13&gt;=$D13,$D13&lt;=W$8+6,$E13&gt;=W$8),1,""))</x:f>
      </x:c>
      <x:c r="X13" s="25" t="str">
        <x:f>IF(OR($B13="",$D13="",$E13="",X$8=""),"",IF(AND($E13&gt;=$D13,$D13&lt;=X$8+6,$E13&gt;=X$8),1,""))</x:f>
      </x:c>
    </x:row>
    <x:row r="14" ht="43" customHeight="1">
      <x:c r="A14" s="2"/>
      <x:c r="B14" s="20"/>
      <x:c r="C14" s="20"/>
      <x:c r="D14" s="23"/>
      <x:c r="E14" s="23"/>
      <x:c r="F14" s="22"/>
      <x:c r="G14" s="22"/>
      <x:c r="H14" s="20"/>
      <x:c r="I14" s="20"/>
      <x:c r="J14" s="20"/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IF(OR($B14="",$D14="",$E14="",M$8=""),"",IF(AND($E14&gt;=$D14,$D14&lt;=M$8+6,$E14&gt;=M$8),1,""))</x:f>
      </x:c>
      <x:c r="N14" s="25" t="str">
        <x:f>IF(OR($B14="",$D14="",$E14="",N$8=""),"",IF(AND($E14&gt;=$D14,$D14&lt;=N$8+6,$E14&gt;=N$8),1,""))</x:f>
      </x:c>
      <x:c r="O14" s="25" t="str">
        <x:f>IF(OR($B14="",$D14="",$E14="",O$8=""),"",IF(AND($E14&gt;=$D14,$D14&lt;=O$8+6,$E14&gt;=O$8),1,""))</x:f>
      </x:c>
      <x:c r="P14" s="25" t="str">
        <x:f>IF(OR($B14="",$D14="",$E14="",P$8=""),"",IF(AND($E14&gt;=$D14,$D14&lt;=P$8+6,$E14&gt;=P$8),1,""))</x:f>
      </x:c>
      <x:c r="Q14" s="25" t="str">
        <x:f>IF(OR($B14="",$D14="",$E14="",Q$8=""),"",IF(AND($E14&gt;=$D14,$D14&lt;=Q$8+6,$E14&gt;=Q$8),1,""))</x:f>
      </x:c>
      <x:c r="R14" s="25" t="str">
        <x:f>IF(OR($B14="",$D14="",$E14="",R$8=""),"",IF(AND($E14&gt;=$D14,$D14&lt;=R$8+6,$E14&gt;=R$8),1,""))</x:f>
      </x:c>
      <x:c r="S14" s="25" t="str">
        <x:f>IF(OR($B14="",$D14="",$E14="",S$8=""),"",IF(AND($E14&gt;=$D14,$D14&lt;=S$8+6,$E14&gt;=S$8),1,""))</x:f>
      </x:c>
      <x:c r="T14" s="25" t="str">
        <x:f>IF(OR($B14="",$D14="",$E14="",T$8=""),"",IF(AND($E14&gt;=$D14,$D14&lt;=T$8+6,$E14&gt;=T$8),1,""))</x:f>
      </x:c>
      <x:c r="U14" s="25" t="str">
        <x:f>IF(OR($B14="",$D14="",$E14="",U$8=""),"",IF(AND($E14&gt;=$D14,$D14&lt;=U$8+6,$E14&gt;=U$8),1,""))</x:f>
      </x:c>
      <x:c r="V14" s="25" t="str">
        <x:f>IF(OR($B14="",$D14="",$E14="",V$8=""),"",IF(AND($E14&gt;=$D14,$D14&lt;=V$8+6,$E14&gt;=V$8),1,""))</x:f>
      </x:c>
      <x:c r="W14" s="25" t="str">
        <x:f>IF(OR($B14="",$D14="",$E14="",W$8=""),"",IF(AND($E14&gt;=$D14,$D14&lt;=W$8+6,$E14&gt;=W$8),1,""))</x:f>
      </x:c>
      <x:c r="X14" s="25" t="str">
        <x:f>IF(OR($B14="",$D14="",$E14="",X$8=""),"",IF(AND($E14&gt;=$D14,$D14&lt;=X$8+6,$E14&gt;=X$8),1,""))</x:f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IF(OR($B15="",$D15="",$E15="",M$8=""),"",IF(AND($E15&gt;=$D15,$D15&lt;=M$8+6,$E15&gt;=M$8),1,""))</x:f>
      </x:c>
      <x:c r="N15" s="25" t="str">
        <x:f>IF(OR($B15="",$D15="",$E15="",N$8=""),"",IF(AND($E15&gt;=$D15,$D15&lt;=N$8+6,$E15&gt;=N$8),1,""))</x:f>
      </x:c>
      <x:c r="O15" s="25" t="str">
        <x:f>IF(OR($B15="",$D15="",$E15="",O$8=""),"",IF(AND($E15&gt;=$D15,$D15&lt;=O$8+6,$E15&gt;=O$8),1,""))</x:f>
      </x:c>
      <x:c r="P15" s="25" t="str">
        <x:f>IF(OR($B15="",$D15="",$E15="",P$8=""),"",IF(AND($E15&gt;=$D15,$D15&lt;=P$8+6,$E15&gt;=P$8),1,""))</x:f>
      </x:c>
      <x:c r="Q15" s="25" t="str">
        <x:f>IF(OR($B15="",$D15="",$E15="",Q$8=""),"",IF(AND($E15&gt;=$D15,$D15&lt;=Q$8+6,$E15&gt;=Q$8),1,""))</x:f>
      </x:c>
      <x:c r="R15" s="25" t="str">
        <x:f>IF(OR($B15="",$D15="",$E15="",R$8=""),"",IF(AND($E15&gt;=$D15,$D15&lt;=R$8+6,$E15&gt;=R$8),1,""))</x:f>
      </x:c>
      <x:c r="S15" s="25" t="str">
        <x:f>IF(OR($B15="",$D15="",$E15="",S$8=""),"",IF(AND($E15&gt;=$D15,$D15&lt;=S$8+6,$E15&gt;=S$8),1,""))</x:f>
      </x:c>
      <x:c r="T15" s="25" t="str">
        <x:f>IF(OR($B15="",$D15="",$E15="",T$8=""),"",IF(AND($E15&gt;=$D15,$D15&lt;=T$8+6,$E15&gt;=T$8),1,""))</x:f>
      </x:c>
      <x:c r="U15" s="25" t="str">
        <x:f>IF(OR($B15="",$D15="",$E15="",U$8=""),"",IF(AND($E15&gt;=$D15,$D15&lt;=U$8+6,$E15&gt;=U$8),1,""))</x:f>
      </x:c>
      <x:c r="V15" s="25" t="str">
        <x:f>IF(OR($B15="",$D15="",$E15="",V$8=""),"",IF(AND($E15&gt;=$D15,$D15&lt;=V$8+6,$E15&gt;=V$8),1,""))</x:f>
      </x:c>
      <x:c r="W15" s="25" t="str">
        <x:f>IF(OR($B15="",$D15="",$E15="",W$8=""),"",IF(AND($E15&gt;=$D15,$D15&lt;=W$8+6,$E15&gt;=W$8),1,""))</x:f>
      </x:c>
      <x:c r="X15" s="25" t="str">
        <x:f>IF(OR($B15="",$D15="",$E15="",X$8=""),"",IF(AND($E15&gt;=$D15,$D15&lt;=X$8+6,$E15&gt;=X$8),1,""))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IF(OR($B16="",$D16="",$E16="",M$8=""),"",IF(AND($E16&gt;=$D16,$D16&lt;=M$8+6,$E16&gt;=M$8),1,""))</x:f>
      </x:c>
      <x:c r="N16" s="25" t="str">
        <x:f>IF(OR($B16="",$D16="",$E16="",N$8=""),"",IF(AND($E16&gt;=$D16,$D16&lt;=N$8+6,$E16&gt;=N$8),1,""))</x:f>
      </x:c>
      <x:c r="O16" s="25" t="str">
        <x:f>IF(OR($B16="",$D16="",$E16="",O$8=""),"",IF(AND($E16&gt;=$D16,$D16&lt;=O$8+6,$E16&gt;=O$8),1,""))</x:f>
      </x:c>
      <x:c r="P16" s="25" t="str">
        <x:f>IF(OR($B16="",$D16="",$E16="",P$8=""),"",IF(AND($E16&gt;=$D16,$D16&lt;=P$8+6,$E16&gt;=P$8),1,""))</x:f>
      </x:c>
      <x:c r="Q16" s="25" t="str">
        <x:f>IF(OR($B16="",$D16="",$E16="",Q$8=""),"",IF(AND($E16&gt;=$D16,$D16&lt;=Q$8+6,$E16&gt;=Q$8),1,""))</x:f>
      </x:c>
      <x:c r="R16" s="25" t="str">
        <x:f>IF(OR($B16="",$D16="",$E16="",R$8=""),"",IF(AND($E16&gt;=$D16,$D16&lt;=R$8+6,$E16&gt;=R$8),1,""))</x:f>
      </x:c>
      <x:c r="S16" s="25" t="str">
        <x:f>IF(OR($B16="",$D16="",$E16="",S$8=""),"",IF(AND($E16&gt;=$D16,$D16&lt;=S$8+6,$E16&gt;=S$8),1,""))</x:f>
      </x:c>
      <x:c r="T16" s="25" t="str">
        <x:f>IF(OR($B16="",$D16="",$E16="",T$8=""),"",IF(AND($E16&gt;=$D16,$D16&lt;=T$8+6,$E16&gt;=T$8),1,""))</x:f>
      </x:c>
      <x:c r="U16" s="25" t="str">
        <x:f>IF(OR($B16="",$D16="",$E16="",U$8=""),"",IF(AND($E16&gt;=$D16,$D16&lt;=U$8+6,$E16&gt;=U$8),1,""))</x:f>
      </x:c>
      <x:c r="V16" s="25" t="str">
        <x:f>IF(OR($B16="",$D16="",$E16="",V$8=""),"",IF(AND($E16&gt;=$D16,$D16&lt;=V$8+6,$E16&gt;=V$8),1,""))</x:f>
      </x:c>
      <x:c r="W16" s="25" t="str">
        <x:f>IF(OR($B16="",$D16="",$E16="",W$8=""),"",IF(AND($E16&gt;=$D16,$D16&lt;=W$8+6,$E16&gt;=W$8),1,""))</x:f>
      </x:c>
      <x:c r="X16" s="25" t="str">
        <x:f>IF(OR($B16="",$D16="",$E16="",X$8=""),"",IF(AND($E16&gt;=$D16,$D16&lt;=X$8+6,$E16&gt;=X$8),1,""))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IF(OR($B17="",$D17="",$E17="",M$8=""),"",IF(AND($E17&gt;=$D17,$D17&lt;=M$8+6,$E17&gt;=M$8),1,""))</x:f>
      </x:c>
      <x:c r="N17" s="25" t="str">
        <x:f>IF(OR($B17="",$D17="",$E17="",N$8=""),"",IF(AND($E17&gt;=$D17,$D17&lt;=N$8+6,$E17&gt;=N$8),1,""))</x:f>
      </x:c>
      <x:c r="O17" s="25" t="str">
        <x:f>IF(OR($B17="",$D17="",$E17="",O$8=""),"",IF(AND($E17&gt;=$D17,$D17&lt;=O$8+6,$E17&gt;=O$8),1,""))</x:f>
      </x:c>
      <x:c r="P17" s="25" t="str">
        <x:f>IF(OR($B17="",$D17="",$E17="",P$8=""),"",IF(AND($E17&gt;=$D17,$D17&lt;=P$8+6,$E17&gt;=P$8),1,""))</x:f>
      </x:c>
      <x:c r="Q17" s="25" t="str">
        <x:f>IF(OR($B17="",$D17="",$E17="",Q$8=""),"",IF(AND($E17&gt;=$D17,$D17&lt;=Q$8+6,$E17&gt;=Q$8),1,""))</x:f>
      </x:c>
      <x:c r="R17" s="25" t="str">
        <x:f>IF(OR($B17="",$D17="",$E17="",R$8=""),"",IF(AND($E17&gt;=$D17,$D17&lt;=R$8+6,$E17&gt;=R$8),1,""))</x:f>
      </x:c>
      <x:c r="S17" s="25" t="str">
        <x:f>IF(OR($B17="",$D17="",$E17="",S$8=""),"",IF(AND($E17&gt;=$D17,$D17&lt;=S$8+6,$E17&gt;=S$8),1,""))</x:f>
      </x:c>
      <x:c r="T17" s="25" t="str">
        <x:f>IF(OR($B17="",$D17="",$E17="",T$8=""),"",IF(AND($E17&gt;=$D17,$D17&lt;=T$8+6,$E17&gt;=T$8),1,""))</x:f>
      </x:c>
      <x:c r="U17" s="25" t="str">
        <x:f>IF(OR($B17="",$D17="",$E17="",U$8=""),"",IF(AND($E17&gt;=$D17,$D17&lt;=U$8+6,$E17&gt;=U$8),1,""))</x:f>
      </x:c>
      <x:c r="V17" s="25" t="str">
        <x:f>IF(OR($B17="",$D17="",$E17="",V$8=""),"",IF(AND($E17&gt;=$D17,$D17&lt;=V$8+6,$E17&gt;=V$8),1,""))</x:f>
      </x:c>
      <x:c r="W17" s="25" t="str">
        <x:f>IF(OR($B17="",$D17="",$E17="",W$8=""),"",IF(AND($E17&gt;=$D17,$D17&lt;=W$8+6,$E17&gt;=W$8),1,""))</x:f>
      </x:c>
      <x:c r="X17" s="25" t="str">
        <x:f>IF(OR($B17="",$D17="",$E17="",X$8=""),"",IF(AND($E17&gt;=$D17,$D17&lt;=X$8+6,$E17&gt;=X$8),1,""))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IF(OR($B18="",$D18="",$E18="",M$8=""),"",IF(AND($E18&gt;=$D18,$D18&lt;=M$8+6,$E18&gt;=M$8),1,""))</x:f>
      </x:c>
      <x:c r="N18" s="25" t="str">
        <x:f>IF(OR($B18="",$D18="",$E18="",N$8=""),"",IF(AND($E18&gt;=$D18,$D18&lt;=N$8+6,$E18&gt;=N$8),1,""))</x:f>
      </x:c>
      <x:c r="O18" s="25" t="str">
        <x:f>IF(OR($B18="",$D18="",$E18="",O$8=""),"",IF(AND($E18&gt;=$D18,$D18&lt;=O$8+6,$E18&gt;=O$8),1,""))</x:f>
      </x:c>
      <x:c r="P18" s="25" t="str">
        <x:f>IF(OR($B18="",$D18="",$E18="",P$8=""),"",IF(AND($E18&gt;=$D18,$D18&lt;=P$8+6,$E18&gt;=P$8),1,""))</x:f>
      </x:c>
      <x:c r="Q18" s="25" t="str">
        <x:f>IF(OR($B18="",$D18="",$E18="",Q$8=""),"",IF(AND($E18&gt;=$D18,$D18&lt;=Q$8+6,$E18&gt;=Q$8),1,""))</x:f>
      </x:c>
      <x:c r="R18" s="25" t="str">
        <x:f>IF(OR($B18="",$D18="",$E18="",R$8=""),"",IF(AND($E18&gt;=$D18,$D18&lt;=R$8+6,$E18&gt;=R$8),1,""))</x:f>
      </x:c>
      <x:c r="S18" s="25" t="str">
        <x:f>IF(OR($B18="",$D18="",$E18="",S$8=""),"",IF(AND($E18&gt;=$D18,$D18&lt;=S$8+6,$E18&gt;=S$8),1,""))</x:f>
      </x:c>
      <x:c r="T18" s="25" t="str">
        <x:f>IF(OR($B18="",$D18="",$E18="",T$8=""),"",IF(AND($E18&gt;=$D18,$D18&lt;=T$8+6,$E18&gt;=T$8),1,""))</x:f>
      </x:c>
      <x:c r="U18" s="25" t="str">
        <x:f>IF(OR($B18="",$D18="",$E18="",U$8=""),"",IF(AND($E18&gt;=$D18,$D18&lt;=U$8+6,$E18&gt;=U$8),1,""))</x:f>
      </x:c>
      <x:c r="V18" s="25" t="str">
        <x:f>IF(OR($B18="",$D18="",$E18="",V$8=""),"",IF(AND($E18&gt;=$D18,$D18&lt;=V$8+6,$E18&gt;=V$8),1,""))</x:f>
      </x:c>
      <x:c r="W18" s="25" t="str">
        <x:f>IF(OR($B18="",$D18="",$E18="",W$8=""),"",IF(AND($E18&gt;=$D18,$D18&lt;=W$8+6,$E18&gt;=W$8),1,""))</x:f>
      </x:c>
      <x:c r="X18" s="25" t="str">
        <x:f>IF(OR($B18="",$D18="",$E18="",X$8=""),"",IF(AND($E18&gt;=$D18,$D18&lt;=X$8+6,$E18&gt;=X$8),1,""))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IF(OR($B19="",$D19="",$E19="",M$8=""),"",IF(AND($E19&gt;=$D19,$D19&lt;=M$8+6,$E19&gt;=M$8),1,""))</x:f>
      </x:c>
      <x:c r="N19" s="25" t="str">
        <x:f>IF(OR($B19="",$D19="",$E19="",N$8=""),"",IF(AND($E19&gt;=$D19,$D19&lt;=N$8+6,$E19&gt;=N$8),1,""))</x:f>
      </x:c>
      <x:c r="O19" s="25" t="str">
        <x:f>IF(OR($B19="",$D19="",$E19="",O$8=""),"",IF(AND($E19&gt;=$D19,$D19&lt;=O$8+6,$E19&gt;=O$8),1,""))</x:f>
      </x:c>
      <x:c r="P19" s="25" t="str">
        <x:f>IF(OR($B19="",$D19="",$E19="",P$8=""),"",IF(AND($E19&gt;=$D19,$D19&lt;=P$8+6,$E19&gt;=P$8),1,""))</x:f>
      </x:c>
      <x:c r="Q19" s="25" t="str">
        <x:f>IF(OR($B19="",$D19="",$E19="",Q$8=""),"",IF(AND($E19&gt;=$D19,$D19&lt;=Q$8+6,$E19&gt;=Q$8),1,""))</x:f>
      </x:c>
      <x:c r="R19" s="25" t="str">
        <x:f>IF(OR($B19="",$D19="",$E19="",R$8=""),"",IF(AND($E19&gt;=$D19,$D19&lt;=R$8+6,$E19&gt;=R$8),1,""))</x:f>
      </x:c>
      <x:c r="S19" s="25" t="str">
        <x:f>IF(OR($B19="",$D19="",$E19="",S$8=""),"",IF(AND($E19&gt;=$D19,$D19&lt;=S$8+6,$E19&gt;=S$8),1,""))</x:f>
      </x:c>
      <x:c r="T19" s="25" t="str">
        <x:f>IF(OR($B19="",$D19="",$E19="",T$8=""),"",IF(AND($E19&gt;=$D19,$D19&lt;=T$8+6,$E19&gt;=T$8),1,""))</x:f>
      </x:c>
      <x:c r="U19" s="25" t="str">
        <x:f>IF(OR($B19="",$D19="",$E19="",U$8=""),"",IF(AND($E19&gt;=$D19,$D19&lt;=U$8+6,$E19&gt;=U$8),1,""))</x:f>
      </x:c>
      <x:c r="V19" s="25" t="str">
        <x:f>IF(OR($B19="",$D19="",$E19="",V$8=""),"",IF(AND($E19&gt;=$D19,$D19&lt;=V$8+6,$E19&gt;=V$8),1,""))</x:f>
      </x:c>
      <x:c r="W19" s="25" t="str">
        <x:f>IF(OR($B19="",$D19="",$E19="",W$8=""),"",IF(AND($E19&gt;=$D19,$D19&lt;=W$8+6,$E19&gt;=W$8),1,""))</x:f>
      </x:c>
      <x:c r="X19" s="25" t="str">
        <x:f>IF(OR($B19="",$D19="",$E19="",X$8=""),"",IF(AND($E19&gt;=$D19,$D19&lt;=X$8+6,$E19&gt;=X$8),1,""))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IF(OR($B20="",$D20="",$E20="",M$8=""),"",IF(AND($E20&gt;=$D20,$D20&lt;=M$8+6,$E20&gt;=M$8),1,""))</x:f>
      </x:c>
      <x:c r="N20" s="25" t="str">
        <x:f>IF(OR($B20="",$D20="",$E20="",N$8=""),"",IF(AND($E20&gt;=$D20,$D20&lt;=N$8+6,$E20&gt;=N$8),1,""))</x:f>
      </x:c>
      <x:c r="O20" s="25" t="str">
        <x:f>IF(OR($B20="",$D20="",$E20="",O$8=""),"",IF(AND($E20&gt;=$D20,$D20&lt;=O$8+6,$E20&gt;=O$8),1,""))</x:f>
      </x:c>
      <x:c r="P20" s="25" t="str">
        <x:f>IF(OR($B20="",$D20="",$E20="",P$8=""),"",IF(AND($E20&gt;=$D20,$D20&lt;=P$8+6,$E20&gt;=P$8),1,""))</x:f>
      </x:c>
      <x:c r="Q20" s="25" t="str">
        <x:f>IF(OR($B20="",$D20="",$E20="",Q$8=""),"",IF(AND($E20&gt;=$D20,$D20&lt;=Q$8+6,$E20&gt;=Q$8),1,""))</x:f>
      </x:c>
      <x:c r="R20" s="25" t="str">
        <x:f>IF(OR($B20="",$D20="",$E20="",R$8=""),"",IF(AND($E20&gt;=$D20,$D20&lt;=R$8+6,$E20&gt;=R$8),1,""))</x:f>
      </x:c>
      <x:c r="S20" s="25" t="str">
        <x:f>IF(OR($B20="",$D20="",$E20="",S$8=""),"",IF(AND($E20&gt;=$D20,$D20&lt;=S$8+6,$E20&gt;=S$8),1,""))</x:f>
      </x:c>
      <x:c r="T20" s="25" t="str">
        <x:f>IF(OR($B20="",$D20="",$E20="",T$8=""),"",IF(AND($E20&gt;=$D20,$D20&lt;=T$8+6,$E20&gt;=T$8),1,""))</x:f>
      </x:c>
      <x:c r="U20" s="25" t="str">
        <x:f>IF(OR($B20="",$D20="",$E20="",U$8=""),"",IF(AND($E20&gt;=$D20,$D20&lt;=U$8+6,$E20&gt;=U$8),1,""))</x:f>
      </x:c>
      <x:c r="V20" s="25" t="str">
        <x:f>IF(OR($B20="",$D20="",$E20="",V$8=""),"",IF(AND($E20&gt;=$D20,$D20&lt;=V$8+6,$E20&gt;=V$8),1,""))</x:f>
      </x:c>
      <x:c r="W20" s="25" t="str">
        <x:f>IF(OR($B20="",$D20="",$E20="",W$8=""),"",IF(AND($E20&gt;=$D20,$D20&lt;=W$8+6,$E20&gt;=W$8),1,""))</x:f>
      </x:c>
      <x:c r="X20" s="25" t="str">
        <x:f>IF(OR($B20="",$D20="",$E20="",X$8=""),"",IF(AND($E20&gt;=$D20,$D20&lt;=X$8+6,$E20&gt;=X$8),1,""))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IF(OR($B21="",$D21="",$E21="",M$8=""),"",IF(AND($E21&gt;=$D21,$D21&lt;=M$8+6,$E21&gt;=M$8),1,""))</x:f>
      </x:c>
      <x:c r="N21" s="25" t="str">
        <x:f>IF(OR($B21="",$D21="",$E21="",N$8=""),"",IF(AND($E21&gt;=$D21,$D21&lt;=N$8+6,$E21&gt;=N$8),1,""))</x:f>
      </x:c>
      <x:c r="O21" s="25" t="str">
        <x:f>IF(OR($B21="",$D21="",$E21="",O$8=""),"",IF(AND($E21&gt;=$D21,$D21&lt;=O$8+6,$E21&gt;=O$8),1,""))</x:f>
      </x:c>
      <x:c r="P21" s="25" t="str">
        <x:f>IF(OR($B21="",$D21="",$E21="",P$8=""),"",IF(AND($E21&gt;=$D21,$D21&lt;=P$8+6,$E21&gt;=P$8),1,""))</x:f>
      </x:c>
      <x:c r="Q21" s="25" t="str">
        <x:f>IF(OR($B21="",$D21="",$E21="",Q$8=""),"",IF(AND($E21&gt;=$D21,$D21&lt;=Q$8+6,$E21&gt;=Q$8),1,""))</x:f>
      </x:c>
      <x:c r="R21" s="25" t="str">
        <x:f>IF(OR($B21="",$D21="",$E21="",R$8=""),"",IF(AND($E21&gt;=$D21,$D21&lt;=R$8+6,$E21&gt;=R$8),1,""))</x:f>
      </x:c>
      <x:c r="S21" s="25" t="str">
        <x:f>IF(OR($B21="",$D21="",$E21="",S$8=""),"",IF(AND($E21&gt;=$D21,$D21&lt;=S$8+6,$E21&gt;=S$8),1,""))</x:f>
      </x:c>
      <x:c r="T21" s="25" t="str">
        <x:f>IF(OR($B21="",$D21="",$E21="",T$8=""),"",IF(AND($E21&gt;=$D21,$D21&lt;=T$8+6,$E21&gt;=T$8),1,""))</x:f>
      </x:c>
      <x:c r="U21" s="25" t="str">
        <x:f>IF(OR($B21="",$D21="",$E21="",U$8=""),"",IF(AND($E21&gt;=$D21,$D21&lt;=U$8+6,$E21&gt;=U$8),1,""))</x:f>
      </x:c>
      <x:c r="V21" s="25" t="str">
        <x:f>IF(OR($B21="",$D21="",$E21="",V$8=""),"",IF(AND($E21&gt;=$D21,$D21&lt;=V$8+6,$E21&gt;=V$8),1,""))</x:f>
      </x:c>
      <x:c r="W21" s="25" t="str">
        <x:f>IF(OR($B21="",$D21="",$E21="",W$8=""),"",IF(AND($E21&gt;=$D21,$D21&lt;=W$8+6,$E21&gt;=W$8),1,""))</x:f>
      </x:c>
      <x:c r="X21" s="25" t="str">
        <x:f>IF(OR($B21="",$D21="",$E21="",X$8=""),"",IF(AND($E21&gt;=$D21,$D21&lt;=X$8+6,$E21&gt;=X$8),1,""))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</x:row>
  </x:sheetData>
  <x:conditionalFormatting sqref="F10:F21">
    <x:cfRule type="expression" dxfId="30" priority="1">
      <x:formula>$F10="A fazer"</x:formula>
    </x:cfRule>
    <x:cfRule type="expression" dxfId="32" priority="3">
      <x:formula>$F10="Em andamento"</x:formula>
    </x:cfRule>
    <x:cfRule type="expression" dxfId="34" priority="5">
      <x:formula>$F10="Em validação"</x:formula>
    </x:cfRule>
    <x:cfRule type="expression" dxfId="36" priority="7">
      <x:formula>$F10="Concluído"</x:formula>
    </x:cfRule>
    <x:cfRule type="expression" dxfId="38" priority="9">
      <x:formula>$F10="Bloqueado"</x:formula>
    </x:cfRule>
    <x:cfRule type="expression" dxfId="40" priority="11">
      <x:formula>$F10="Pausado"</x:formula>
    </x:cfRule>
  </x:conditionalFormatting>
  <x:conditionalFormatting sqref="M10:X21">
    <x:cfRule type="expression" dxfId="31" priority="2">
      <x:formula>AND(M10=1,$F10="A fazer")</x:formula>
    </x:cfRule>
    <x:cfRule type="expression" dxfId="33" priority="4">
      <x:formula>AND(M10=1,$F10="Em andamento")</x:formula>
    </x:cfRule>
    <x:cfRule type="expression" dxfId="35" priority="6">
      <x:formula>AND(M10=1,$F10="Em validação")</x:formula>
    </x:cfRule>
    <x:cfRule type="expression" dxfId="37" priority="8">
      <x:formula>AND(M10=1,$F10="Concluído")</x:formula>
    </x:cfRule>
    <x:cfRule type="expression" dxfId="39" priority="10">
      <x:formula>AND(M10=1,$F10="Bloqueado")</x:formula>
    </x:cfRule>
    <x:cfRule type="expression" dxfId="41" priority="12">
      <x:formula>AND(M10=1,$F10="Pausado")</x:formula>
    </x:cfRule>
    <x:cfRule type="expression" dxfId="42" priority="13">
      <x:formula>AND(M10=1,$F10="")</x:formula>
    </x:cfRule>
  </x:conditionalFormatting>
  <x:conditionalFormatting sqref="K10:K21">
    <x:cfRule type="containsText" dxfId="43" priority="14" operator="containsText" text="Rever datas"/>
    <x:cfRule type="containsText" dxfId="44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08B87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1" customHeight="1">
      <x:c r="A2" s="2"/>
      <x:c r="B2" s="3" t="str">
        <x:v>Processos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1" customHeight="1">
      <x:c r="A3" s="2"/>
      <x:c r="B3" s="17" t="str">
        <x:v>Modelo para preencher</x:v>
      </x:c>
      <x:c r="C3" s="2"/>
      <x:c r="D3" s="2"/>
      <x:c r="E3" s="2"/>
      <x:c r="F3" s="2"/>
      <x:c r="G3" s="2"/>
      <x:c r="H3" s="2"/>
      <x:c r="I3" s="16" t="str">
        <x:v>90 dias em seis ciclos de 15 dias</x:v>
      </x:c>
      <x:c r="J3" s="2"/>
      <x:c r="K3" s="2"/>
      <x:c r="L3" s="2"/>
      <x:c r="M3" s="2"/>
      <x:c r="N3" s="2"/>
      <x:c r="O3" s="2"/>
      <x:c r="P3" s="2"/>
      <x:c r="Q3" s="2"/>
      <x:c r="R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1" customHeight="1">
      <x:c r="A5" s="2"/>
      <x:c r="B5" s="2" t="str">
        <x:v>Data-base</x:v>
      </x:c>
      <x:c r="C5" s="19"/>
      <x:c r="D5" s="2"/>
      <x:c r="E5" s="2"/>
      <x:c r="F5" s="2" t="str">
        <x:v>Data de revisão</x:v>
      </x:c>
      <x:c r="G5" s="19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12 linhas disponíveis</x:v>
      </x:c>
      <x:c r="K7" s="16"/>
      <x:c r="L7" s="2"/>
      <x:c r="M7" s="2"/>
      <x:c r="N7" s="2"/>
      <x:c r="O7" s="2"/>
      <x:c r="P7" s="2"/>
      <x:c r="Q7" s="2"/>
      <x:c r="R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str">
        <x:f>IF($C$5="","",$C$5+0)</x:f>
      </x:c>
      <x:c r="N8" s="28" t="str">
        <x:f>IF($C$5="","",$C$5+15)</x:f>
      </x:c>
      <x:c r="O8" s="28" t="str">
        <x:f>IF($C$5="","",$C$5+30)</x:f>
      </x:c>
      <x:c r="P8" s="28" t="str">
        <x:f>IF($C$5="","",$C$5+45)</x:f>
      </x:c>
      <x:c r="Q8" s="28" t="str">
        <x:f>IF($C$5="","",$C$5+60)</x:f>
      </x:c>
      <x:c r="R8" s="28" t="str">
        <x:f>IF($C$5="","",$C$5+75)</x:f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Q1</x:v>
      </x:c>
      <x:c r="N9" s="8" t="str">
        <x:v>Q2</x:v>
      </x:c>
      <x:c r="O9" s="8" t="str">
        <x:v>Q3</x:v>
      </x:c>
      <x:c r="P9" s="8" t="str">
        <x:v>Q4</x:v>
      </x:c>
      <x:c r="Q9" s="8" t="str">
        <x:v>Q5</x:v>
      </x:c>
      <x:c r="R9" s="8" t="str">
        <x:v>Q6</x:v>
      </x:c>
    </x:row>
    <x:row r="10" ht="43" customHeight="1">
      <x:c r="A10" s="2"/>
      <x:c r="B10" s="20"/>
      <x:c r="C10" s="20"/>
      <x:c r="D10" s="23"/>
      <x:c r="E10" s="23"/>
      <x:c r="F10" s="22"/>
      <x:c r="G10" s="22"/>
      <x:c r="H10" s="20"/>
      <x:c r="I10" s="20"/>
      <x:c r="J10" s="20"/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str">
        <x:f>IF(OR($B10="",$D10="",$E10="",M$8=""),"",IF(AND($E10&gt;=$D10,$D10&lt;=M$8+14,$E10&gt;=M$8),1,""))</x:f>
      </x:c>
      <x:c r="N10" s="25" t="str">
        <x:f>IF(OR($B10="",$D10="",$E10="",N$8=""),"",IF(AND($E10&gt;=$D10,$D10&lt;=N$8+14,$E10&gt;=N$8),1,""))</x:f>
      </x:c>
      <x:c r="O10" s="25" t="str">
        <x:f>IF(OR($B10="",$D10="",$E10="",O$8=""),"",IF(AND($E10&gt;=$D10,$D10&lt;=O$8+14,$E10&gt;=O$8),1,""))</x:f>
      </x:c>
      <x:c r="P10" s="25" t="str">
        <x:f>IF(OR($B10="",$D10="",$E10="",P$8=""),"",IF(AND($E10&gt;=$D10,$D10&lt;=P$8+14,$E10&gt;=P$8),1,""))</x:f>
      </x:c>
      <x:c r="Q10" s="25" t="str">
        <x:f>IF(OR($B10="",$D10="",$E10="",Q$8=""),"",IF(AND($E10&gt;=$D10,$D10&lt;=Q$8+14,$E10&gt;=Q$8),1,""))</x:f>
      </x:c>
      <x:c r="R10" s="25" t="str">
        <x:f>IF(OR($B10="",$D10="",$E10="",R$8=""),"",IF(AND($E10&gt;=$D10,$D10&lt;=R$8+14,$E10&gt;=R$8),1,""))</x:f>
      </x:c>
    </x:row>
    <x:row r="11" ht="43" customHeight="1">
      <x:c r="A11" s="2"/>
      <x:c r="B11" s="20"/>
      <x:c r="C11" s="20"/>
      <x:c r="D11" s="23"/>
      <x:c r="E11" s="23"/>
      <x:c r="F11" s="22"/>
      <x:c r="G11" s="22"/>
      <x:c r="H11" s="20"/>
      <x:c r="I11" s="20"/>
      <x:c r="J11" s="20"/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str">
        <x:f>IF(OR($B11="",$D11="",$E11="",M$8=""),"",IF(AND($E11&gt;=$D11,$D11&lt;=M$8+14,$E11&gt;=M$8),1,""))</x:f>
      </x:c>
      <x:c r="N11" s="25" t="str">
        <x:f>IF(OR($B11="",$D11="",$E11="",N$8=""),"",IF(AND($E11&gt;=$D11,$D11&lt;=N$8+14,$E11&gt;=N$8),1,""))</x:f>
      </x:c>
      <x:c r="O11" s="25" t="str">
        <x:f>IF(OR($B11="",$D11="",$E11="",O$8=""),"",IF(AND($E11&gt;=$D11,$D11&lt;=O$8+14,$E11&gt;=O$8),1,""))</x:f>
      </x:c>
      <x:c r="P11" s="25" t="str">
        <x:f>IF(OR($B11="",$D11="",$E11="",P$8=""),"",IF(AND($E11&gt;=$D11,$D11&lt;=P$8+14,$E11&gt;=P$8),1,""))</x:f>
      </x:c>
      <x:c r="Q11" s="25" t="str">
        <x:f>IF(OR($B11="",$D11="",$E11="",Q$8=""),"",IF(AND($E11&gt;=$D11,$D11&lt;=Q$8+14,$E11&gt;=Q$8),1,""))</x:f>
      </x:c>
      <x:c r="R11" s="25" t="str">
        <x:f>IF(OR($B11="",$D11="",$E11="",R$8=""),"",IF(AND($E11&gt;=$D11,$D11&lt;=R$8+14,$E11&gt;=R$8),1,""))</x:f>
      </x:c>
    </x:row>
    <x:row r="12" ht="43" customHeight="1">
      <x:c r="A12" s="2"/>
      <x:c r="B12" s="20"/>
      <x:c r="C12" s="20"/>
      <x:c r="D12" s="23"/>
      <x:c r="E12" s="23"/>
      <x:c r="F12" s="22"/>
      <x:c r="G12" s="22"/>
      <x:c r="H12" s="20"/>
      <x:c r="I12" s="20"/>
      <x:c r="J12" s="20"/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IF(OR($B12="",$D12="",$E12="",M$8=""),"",IF(AND($E12&gt;=$D12,$D12&lt;=M$8+14,$E12&gt;=M$8),1,""))</x:f>
      </x:c>
      <x:c r="N12" s="25" t="str">
        <x:f>IF(OR($B12="",$D12="",$E12="",N$8=""),"",IF(AND($E12&gt;=$D12,$D12&lt;=N$8+14,$E12&gt;=N$8),1,""))</x:f>
      </x:c>
      <x:c r="O12" s="25" t="str">
        <x:f>IF(OR($B12="",$D12="",$E12="",O$8=""),"",IF(AND($E12&gt;=$D12,$D12&lt;=O$8+14,$E12&gt;=O$8),1,""))</x:f>
      </x:c>
      <x:c r="P12" s="25" t="str">
        <x:f>IF(OR($B12="",$D12="",$E12="",P$8=""),"",IF(AND($E12&gt;=$D12,$D12&lt;=P$8+14,$E12&gt;=P$8),1,""))</x:f>
      </x:c>
      <x:c r="Q12" s="25" t="str">
        <x:f>IF(OR($B12="",$D12="",$E12="",Q$8=""),"",IF(AND($E12&gt;=$D12,$D12&lt;=Q$8+14,$E12&gt;=Q$8),1,""))</x:f>
      </x:c>
      <x:c r="R12" s="25" t="str">
        <x:f>IF(OR($B12="",$D12="",$E12="",R$8=""),"",IF(AND($E12&gt;=$D12,$D12&lt;=R$8+14,$E12&gt;=R$8),1,""))</x:f>
      </x:c>
    </x:row>
    <x:row r="13" ht="43" customHeight="1">
      <x:c r="A13" s="2"/>
      <x:c r="B13" s="20"/>
      <x:c r="C13" s="20"/>
      <x:c r="D13" s="23"/>
      <x:c r="E13" s="23"/>
      <x:c r="F13" s="22"/>
      <x:c r="G13" s="22"/>
      <x:c r="H13" s="20"/>
      <x:c r="I13" s="20"/>
      <x:c r="J13" s="20"/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IF(OR($B13="",$D13="",$E13="",M$8=""),"",IF(AND($E13&gt;=$D13,$D13&lt;=M$8+14,$E13&gt;=M$8),1,""))</x:f>
      </x:c>
      <x:c r="N13" s="25" t="str">
        <x:f>IF(OR($B13="",$D13="",$E13="",N$8=""),"",IF(AND($E13&gt;=$D13,$D13&lt;=N$8+14,$E13&gt;=N$8),1,""))</x:f>
      </x:c>
      <x:c r="O13" s="25" t="str">
        <x:f>IF(OR($B13="",$D13="",$E13="",O$8=""),"",IF(AND($E13&gt;=$D13,$D13&lt;=O$8+14,$E13&gt;=O$8),1,""))</x:f>
      </x:c>
      <x:c r="P13" s="25" t="str">
        <x:f>IF(OR($B13="",$D13="",$E13="",P$8=""),"",IF(AND($E13&gt;=$D13,$D13&lt;=P$8+14,$E13&gt;=P$8),1,""))</x:f>
      </x:c>
      <x:c r="Q13" s="25" t="str">
        <x:f>IF(OR($B13="",$D13="",$E13="",Q$8=""),"",IF(AND($E13&gt;=$D13,$D13&lt;=Q$8+14,$E13&gt;=Q$8),1,""))</x:f>
      </x:c>
      <x:c r="R13" s="25" t="str">
        <x:f>IF(OR($B13="",$D13="",$E13="",R$8=""),"",IF(AND($E13&gt;=$D13,$D13&lt;=R$8+14,$E13&gt;=R$8),1,""))</x:f>
      </x:c>
    </x:row>
    <x:row r="14" ht="43" customHeight="1">
      <x:c r="A14" s="2"/>
      <x:c r="B14" s="20"/>
      <x:c r="C14" s="20"/>
      <x:c r="D14" s="23"/>
      <x:c r="E14" s="23"/>
      <x:c r="F14" s="22"/>
      <x:c r="G14" s="22"/>
      <x:c r="H14" s="20"/>
      <x:c r="I14" s="20"/>
      <x:c r="J14" s="20"/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IF(OR($B14="",$D14="",$E14="",M$8=""),"",IF(AND($E14&gt;=$D14,$D14&lt;=M$8+14,$E14&gt;=M$8),1,""))</x:f>
      </x:c>
      <x:c r="N14" s="25" t="str">
        <x:f>IF(OR($B14="",$D14="",$E14="",N$8=""),"",IF(AND($E14&gt;=$D14,$D14&lt;=N$8+14,$E14&gt;=N$8),1,""))</x:f>
      </x:c>
      <x:c r="O14" s="25" t="str">
        <x:f>IF(OR($B14="",$D14="",$E14="",O$8=""),"",IF(AND($E14&gt;=$D14,$D14&lt;=O$8+14,$E14&gt;=O$8),1,""))</x:f>
      </x:c>
      <x:c r="P14" s="25" t="str">
        <x:f>IF(OR($B14="",$D14="",$E14="",P$8=""),"",IF(AND($E14&gt;=$D14,$D14&lt;=P$8+14,$E14&gt;=P$8),1,""))</x:f>
      </x:c>
      <x:c r="Q14" s="25" t="str">
        <x:f>IF(OR($B14="",$D14="",$E14="",Q$8=""),"",IF(AND($E14&gt;=$D14,$D14&lt;=Q$8+14,$E14&gt;=Q$8),1,""))</x:f>
      </x:c>
      <x:c r="R14" s="25" t="str">
        <x:f>IF(OR($B14="",$D14="",$E14="",R$8=""),"",IF(AND($E14&gt;=$D14,$D14&lt;=R$8+14,$E14&gt;=R$8),1,""))</x:f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IF(OR($B15="",$D15="",$E15="",M$8=""),"",IF(AND($E15&gt;=$D15,$D15&lt;=M$8+14,$E15&gt;=M$8),1,""))</x:f>
      </x:c>
      <x:c r="N15" s="25" t="str">
        <x:f>IF(OR($B15="",$D15="",$E15="",N$8=""),"",IF(AND($E15&gt;=$D15,$D15&lt;=N$8+14,$E15&gt;=N$8),1,""))</x:f>
      </x:c>
      <x:c r="O15" s="25" t="str">
        <x:f>IF(OR($B15="",$D15="",$E15="",O$8=""),"",IF(AND($E15&gt;=$D15,$D15&lt;=O$8+14,$E15&gt;=O$8),1,""))</x:f>
      </x:c>
      <x:c r="P15" s="25" t="str">
        <x:f>IF(OR($B15="",$D15="",$E15="",P$8=""),"",IF(AND($E15&gt;=$D15,$D15&lt;=P$8+14,$E15&gt;=P$8),1,""))</x:f>
      </x:c>
      <x:c r="Q15" s="25" t="str">
        <x:f>IF(OR($B15="",$D15="",$E15="",Q$8=""),"",IF(AND($E15&gt;=$D15,$D15&lt;=Q$8+14,$E15&gt;=Q$8),1,""))</x:f>
      </x:c>
      <x:c r="R15" s="25" t="str">
        <x:f>IF(OR($B15="",$D15="",$E15="",R$8=""),"",IF(AND($E15&gt;=$D15,$D15&lt;=R$8+14,$E15&gt;=R$8),1,""))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IF(OR($B16="",$D16="",$E16="",M$8=""),"",IF(AND($E16&gt;=$D16,$D16&lt;=M$8+14,$E16&gt;=M$8),1,""))</x:f>
      </x:c>
      <x:c r="N16" s="25" t="str">
        <x:f>IF(OR($B16="",$D16="",$E16="",N$8=""),"",IF(AND($E16&gt;=$D16,$D16&lt;=N$8+14,$E16&gt;=N$8),1,""))</x:f>
      </x:c>
      <x:c r="O16" s="25" t="str">
        <x:f>IF(OR($B16="",$D16="",$E16="",O$8=""),"",IF(AND($E16&gt;=$D16,$D16&lt;=O$8+14,$E16&gt;=O$8),1,""))</x:f>
      </x:c>
      <x:c r="P16" s="25" t="str">
        <x:f>IF(OR($B16="",$D16="",$E16="",P$8=""),"",IF(AND($E16&gt;=$D16,$D16&lt;=P$8+14,$E16&gt;=P$8),1,""))</x:f>
      </x:c>
      <x:c r="Q16" s="25" t="str">
        <x:f>IF(OR($B16="",$D16="",$E16="",Q$8=""),"",IF(AND($E16&gt;=$D16,$D16&lt;=Q$8+14,$E16&gt;=Q$8),1,""))</x:f>
      </x:c>
      <x:c r="R16" s="25" t="str">
        <x:f>IF(OR($B16="",$D16="",$E16="",R$8=""),"",IF(AND($E16&gt;=$D16,$D16&lt;=R$8+14,$E16&gt;=R$8),1,""))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IF(OR($B17="",$D17="",$E17="",M$8=""),"",IF(AND($E17&gt;=$D17,$D17&lt;=M$8+14,$E17&gt;=M$8),1,""))</x:f>
      </x:c>
      <x:c r="N17" s="25" t="str">
        <x:f>IF(OR($B17="",$D17="",$E17="",N$8=""),"",IF(AND($E17&gt;=$D17,$D17&lt;=N$8+14,$E17&gt;=N$8),1,""))</x:f>
      </x:c>
      <x:c r="O17" s="25" t="str">
        <x:f>IF(OR($B17="",$D17="",$E17="",O$8=""),"",IF(AND($E17&gt;=$D17,$D17&lt;=O$8+14,$E17&gt;=O$8),1,""))</x:f>
      </x:c>
      <x:c r="P17" s="25" t="str">
        <x:f>IF(OR($B17="",$D17="",$E17="",P$8=""),"",IF(AND($E17&gt;=$D17,$D17&lt;=P$8+14,$E17&gt;=P$8),1,""))</x:f>
      </x:c>
      <x:c r="Q17" s="25" t="str">
        <x:f>IF(OR($B17="",$D17="",$E17="",Q$8=""),"",IF(AND($E17&gt;=$D17,$D17&lt;=Q$8+14,$E17&gt;=Q$8),1,""))</x:f>
      </x:c>
      <x:c r="R17" s="25" t="str">
        <x:f>IF(OR($B17="",$D17="",$E17="",R$8=""),"",IF(AND($E17&gt;=$D17,$D17&lt;=R$8+14,$E17&gt;=R$8),1,""))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IF(OR($B18="",$D18="",$E18="",M$8=""),"",IF(AND($E18&gt;=$D18,$D18&lt;=M$8+14,$E18&gt;=M$8),1,""))</x:f>
      </x:c>
      <x:c r="N18" s="25" t="str">
        <x:f>IF(OR($B18="",$D18="",$E18="",N$8=""),"",IF(AND($E18&gt;=$D18,$D18&lt;=N$8+14,$E18&gt;=N$8),1,""))</x:f>
      </x:c>
      <x:c r="O18" s="25" t="str">
        <x:f>IF(OR($B18="",$D18="",$E18="",O$8=""),"",IF(AND($E18&gt;=$D18,$D18&lt;=O$8+14,$E18&gt;=O$8),1,""))</x:f>
      </x:c>
      <x:c r="P18" s="25" t="str">
        <x:f>IF(OR($B18="",$D18="",$E18="",P$8=""),"",IF(AND($E18&gt;=$D18,$D18&lt;=P$8+14,$E18&gt;=P$8),1,""))</x:f>
      </x:c>
      <x:c r="Q18" s="25" t="str">
        <x:f>IF(OR($B18="",$D18="",$E18="",Q$8=""),"",IF(AND($E18&gt;=$D18,$D18&lt;=Q$8+14,$E18&gt;=Q$8),1,""))</x:f>
      </x:c>
      <x:c r="R18" s="25" t="str">
        <x:f>IF(OR($B18="",$D18="",$E18="",R$8=""),"",IF(AND($E18&gt;=$D18,$D18&lt;=R$8+14,$E18&gt;=R$8),1,""))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IF(OR($B19="",$D19="",$E19="",M$8=""),"",IF(AND($E19&gt;=$D19,$D19&lt;=M$8+14,$E19&gt;=M$8),1,""))</x:f>
      </x:c>
      <x:c r="N19" s="25" t="str">
        <x:f>IF(OR($B19="",$D19="",$E19="",N$8=""),"",IF(AND($E19&gt;=$D19,$D19&lt;=N$8+14,$E19&gt;=N$8),1,""))</x:f>
      </x:c>
      <x:c r="O19" s="25" t="str">
        <x:f>IF(OR($B19="",$D19="",$E19="",O$8=""),"",IF(AND($E19&gt;=$D19,$D19&lt;=O$8+14,$E19&gt;=O$8),1,""))</x:f>
      </x:c>
      <x:c r="P19" s="25" t="str">
        <x:f>IF(OR($B19="",$D19="",$E19="",P$8=""),"",IF(AND($E19&gt;=$D19,$D19&lt;=P$8+14,$E19&gt;=P$8),1,""))</x:f>
      </x:c>
      <x:c r="Q19" s="25" t="str">
        <x:f>IF(OR($B19="",$D19="",$E19="",Q$8=""),"",IF(AND($E19&gt;=$D19,$D19&lt;=Q$8+14,$E19&gt;=Q$8),1,""))</x:f>
      </x:c>
      <x:c r="R19" s="25" t="str">
        <x:f>IF(OR($B19="",$D19="",$E19="",R$8=""),"",IF(AND($E19&gt;=$D19,$D19&lt;=R$8+14,$E19&gt;=R$8),1,""))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IF(OR($B20="",$D20="",$E20="",M$8=""),"",IF(AND($E20&gt;=$D20,$D20&lt;=M$8+14,$E20&gt;=M$8),1,""))</x:f>
      </x:c>
      <x:c r="N20" s="25" t="str">
        <x:f>IF(OR($B20="",$D20="",$E20="",N$8=""),"",IF(AND($E20&gt;=$D20,$D20&lt;=N$8+14,$E20&gt;=N$8),1,""))</x:f>
      </x:c>
      <x:c r="O20" s="25" t="str">
        <x:f>IF(OR($B20="",$D20="",$E20="",O$8=""),"",IF(AND($E20&gt;=$D20,$D20&lt;=O$8+14,$E20&gt;=O$8),1,""))</x:f>
      </x:c>
      <x:c r="P20" s="25" t="str">
        <x:f>IF(OR($B20="",$D20="",$E20="",P$8=""),"",IF(AND($E20&gt;=$D20,$D20&lt;=P$8+14,$E20&gt;=P$8),1,""))</x:f>
      </x:c>
      <x:c r="Q20" s="25" t="str">
        <x:f>IF(OR($B20="",$D20="",$E20="",Q$8=""),"",IF(AND($E20&gt;=$D20,$D20&lt;=Q$8+14,$E20&gt;=Q$8),1,""))</x:f>
      </x:c>
      <x:c r="R20" s="25" t="str">
        <x:f>IF(OR($B20="",$D20="",$E20="",R$8=""),"",IF(AND($E20&gt;=$D20,$D20&lt;=R$8+14,$E20&gt;=R$8),1,""))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IF(OR($B21="",$D21="",$E21="",M$8=""),"",IF(AND($E21&gt;=$D21,$D21&lt;=M$8+14,$E21&gt;=M$8),1,""))</x:f>
      </x:c>
      <x:c r="N21" s="25" t="str">
        <x:f>IF(OR($B21="",$D21="",$E21="",N$8=""),"",IF(AND($E21&gt;=$D21,$D21&lt;=N$8+14,$E21&gt;=N$8),1,""))</x:f>
      </x:c>
      <x:c r="O21" s="25" t="str">
        <x:f>IF(OR($B21="",$D21="",$E21="",O$8=""),"",IF(AND($E21&gt;=$D21,$D21&lt;=O$8+14,$E21&gt;=O$8),1,""))</x:f>
      </x:c>
      <x:c r="P21" s="25" t="str">
        <x:f>IF(OR($B21="",$D21="",$E21="",P$8=""),"",IF(AND($E21&gt;=$D21,$D21&lt;=P$8+14,$E21&gt;=P$8),1,""))</x:f>
      </x:c>
      <x:c r="Q21" s="25" t="str">
        <x:f>IF(OR($B21="",$D21="",$E21="",Q$8=""),"",IF(AND($E21&gt;=$D21,$D21&lt;=Q$8+14,$E21&gt;=Q$8),1,""))</x:f>
      </x:c>
      <x:c r="R21" s="25" t="str">
        <x:f>IF(OR($B21="",$D21="",$E21="",R$8=""),"",IF(AND($E21&gt;=$D21,$D21&lt;=R$8+14,$E21&gt;=R$8),1,""))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</x:sheetData>
  <x:conditionalFormatting sqref="F10:F21">
    <x:cfRule type="expression" dxfId="45" priority="1">
      <x:formula>$F10="A fazer"</x:formula>
    </x:cfRule>
    <x:cfRule type="expression" dxfId="47" priority="3">
      <x:formula>$F10="Em andamento"</x:formula>
    </x:cfRule>
    <x:cfRule type="expression" dxfId="49" priority="5">
      <x:formula>$F10="Em validação"</x:formula>
    </x:cfRule>
    <x:cfRule type="expression" dxfId="51" priority="7">
      <x:formula>$F10="Concluído"</x:formula>
    </x:cfRule>
    <x:cfRule type="expression" dxfId="53" priority="9">
      <x:formula>$F10="Bloqueado"</x:formula>
    </x:cfRule>
    <x:cfRule type="expression" dxfId="55" priority="11">
      <x:formula>$F10="Pausado"</x:formula>
    </x:cfRule>
  </x:conditionalFormatting>
  <x:conditionalFormatting sqref="M10:R21">
    <x:cfRule type="expression" dxfId="46" priority="2">
      <x:formula>AND(M10=1,$F10="A fazer")</x:formula>
    </x:cfRule>
    <x:cfRule type="expression" dxfId="48" priority="4">
      <x:formula>AND(M10=1,$F10="Em andamento")</x:formula>
    </x:cfRule>
    <x:cfRule type="expression" dxfId="50" priority="6">
      <x:formula>AND(M10=1,$F10="Em validação")</x:formula>
    </x:cfRule>
    <x:cfRule type="expression" dxfId="52" priority="8">
      <x:formula>AND(M10=1,$F10="Concluído")</x:formula>
    </x:cfRule>
    <x:cfRule type="expression" dxfId="54" priority="10">
      <x:formula>AND(M10=1,$F10="Bloqueado")</x:formula>
    </x:cfRule>
    <x:cfRule type="expression" dxfId="56" priority="12">
      <x:formula>AND(M10=1,$F10="Pausado")</x:formula>
    </x:cfRule>
    <x:cfRule type="expression" dxfId="57" priority="13">
      <x:formula>AND(M10=1,$F10="")</x:formula>
    </x:cfRule>
  </x:conditionalFormatting>
  <x:conditionalFormatting sqref="K10:K21">
    <x:cfRule type="containsText" dxfId="58" priority="14" operator="containsText" text="Rever datas"/>
    <x:cfRule type="containsText" dxfId="59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008B87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1" customHeight="1">
      <x:c r="A2" s="2"/>
      <x:c r="B2" s="3" t="str">
        <x:v>Qualidade e SGQ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1" customHeight="1">
      <x:c r="A3" s="2"/>
      <x:c r="B3" s="17" t="str">
        <x:v>Modelo para preencher</x:v>
      </x:c>
      <x:c r="C3" s="2"/>
      <x:c r="D3" s="2"/>
      <x:c r="E3" s="2"/>
      <x:c r="F3" s="2"/>
      <x:c r="G3" s="2"/>
      <x:c r="H3" s="2"/>
      <x:c r="I3" s="16" t="str">
        <x:v>Seis meses de organização e revisão</x:v>
      </x:c>
      <x:c r="J3" s="2"/>
      <x:c r="K3" s="2"/>
      <x:c r="L3" s="2"/>
      <x:c r="M3" s="2"/>
      <x:c r="N3" s="2"/>
      <x:c r="O3" s="2"/>
      <x:c r="P3" s="2"/>
      <x:c r="Q3" s="2"/>
      <x:c r="R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1" customHeight="1">
      <x:c r="A5" s="2"/>
      <x:c r="B5" s="2" t="str">
        <x:v>Data-base</x:v>
      </x:c>
      <x:c r="C5" s="19"/>
      <x:c r="D5" s="2"/>
      <x:c r="E5" s="2"/>
      <x:c r="F5" s="2" t="str">
        <x:v>Data de revisão</x:v>
      </x:c>
      <x:c r="G5" s="19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12 linhas disponíveis</x:v>
      </x:c>
      <x:c r="K7" s="16"/>
      <x:c r="L7" s="2"/>
      <x:c r="M7" s="2"/>
      <x:c r="N7" s="2"/>
      <x:c r="O7" s="2"/>
      <x:c r="P7" s="2"/>
      <x:c r="Q7" s="2"/>
      <x:c r="R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str">
        <x:f>IF($C$5="","",EDATE($C$5,0))</x:f>
      </x:c>
      <x:c r="N8" s="28" t="str">
        <x:f>IF($C$5="","",EDATE($C$5,1))</x:f>
      </x:c>
      <x:c r="O8" s="28" t="str">
        <x:f>IF($C$5="","",EDATE($C$5,2))</x:f>
      </x:c>
      <x:c r="P8" s="28" t="str">
        <x:f>IF($C$5="","",EDATE($C$5,3))</x:f>
      </x:c>
      <x:c r="Q8" s="28" t="str">
        <x:f>IF($C$5="","",EDATE($C$5,4))</x:f>
      </x:c>
      <x:c r="R8" s="28" t="str">
        <x:f>IF($C$5="","",EDATE($C$5,5))</x:f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M1</x:v>
      </x:c>
      <x:c r="N9" s="8" t="str">
        <x:v>M2</x:v>
      </x:c>
      <x:c r="O9" s="8" t="str">
        <x:v>M3</x:v>
      </x:c>
      <x:c r="P9" s="8" t="str">
        <x:v>M4</x:v>
      </x:c>
      <x:c r="Q9" s="8" t="str">
        <x:v>M5</x:v>
      </x:c>
      <x:c r="R9" s="8" t="str">
        <x:v>M6</x:v>
      </x:c>
    </x:row>
    <x:row r="10" ht="43" customHeight="1">
      <x:c r="A10" s="2"/>
      <x:c r="B10" s="20"/>
      <x:c r="C10" s="20"/>
      <x:c r="D10" s="23"/>
      <x:c r="E10" s="23"/>
      <x:c r="F10" s="22"/>
      <x:c r="G10" s="22"/>
      <x:c r="H10" s="20"/>
      <x:c r="I10" s="20"/>
      <x:c r="J10" s="20"/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str">
        <x:f>IF(OR($B10="",$D10="",$E10="",M$8=""),"",IF(AND($E10&gt;=$D10,$D10&lt;=EDATE(M$8,1)-1,$E10&gt;=M$8),1,""))</x:f>
      </x:c>
      <x:c r="N10" s="25" t="str">
        <x:f>IF(OR($B10="",$D10="",$E10="",N$8=""),"",IF(AND($E10&gt;=$D10,$D10&lt;=EDATE(N$8,1)-1,$E10&gt;=N$8),1,""))</x:f>
      </x:c>
      <x:c r="O10" s="25" t="str">
        <x:f>IF(OR($B10="",$D10="",$E10="",O$8=""),"",IF(AND($E10&gt;=$D10,$D10&lt;=EDATE(O$8,1)-1,$E10&gt;=O$8),1,""))</x:f>
      </x:c>
      <x:c r="P10" s="25" t="str">
        <x:f>IF(OR($B10="",$D10="",$E10="",P$8=""),"",IF(AND($E10&gt;=$D10,$D10&lt;=EDATE(P$8,1)-1,$E10&gt;=P$8),1,""))</x:f>
      </x:c>
      <x:c r="Q10" s="25" t="str">
        <x:f>IF(OR($B10="",$D10="",$E10="",Q$8=""),"",IF(AND($E10&gt;=$D10,$D10&lt;=EDATE(Q$8,1)-1,$E10&gt;=Q$8),1,""))</x:f>
      </x:c>
      <x:c r="R10" s="25" t="str">
        <x:f>IF(OR($B10="",$D10="",$E10="",R$8=""),"",IF(AND($E10&gt;=$D10,$D10&lt;=EDATE(R$8,1)-1,$E10&gt;=R$8),1,""))</x:f>
      </x:c>
    </x:row>
    <x:row r="11" ht="43" customHeight="1">
      <x:c r="A11" s="2"/>
      <x:c r="B11" s="20"/>
      <x:c r="C11" s="20"/>
      <x:c r="D11" s="23"/>
      <x:c r="E11" s="23"/>
      <x:c r="F11" s="22"/>
      <x:c r="G11" s="22"/>
      <x:c r="H11" s="20"/>
      <x:c r="I11" s="20"/>
      <x:c r="J11" s="20"/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str">
        <x:f>IF(OR($B11="",$D11="",$E11="",M$8=""),"",IF(AND($E11&gt;=$D11,$D11&lt;=EDATE(M$8,1)-1,$E11&gt;=M$8),1,""))</x:f>
      </x:c>
      <x:c r="N11" s="25" t="str">
        <x:f>IF(OR($B11="",$D11="",$E11="",N$8=""),"",IF(AND($E11&gt;=$D11,$D11&lt;=EDATE(N$8,1)-1,$E11&gt;=N$8),1,""))</x:f>
      </x:c>
      <x:c r="O11" s="25" t="str">
        <x:f>IF(OR($B11="",$D11="",$E11="",O$8=""),"",IF(AND($E11&gt;=$D11,$D11&lt;=EDATE(O$8,1)-1,$E11&gt;=O$8),1,""))</x:f>
      </x:c>
      <x:c r="P11" s="25" t="str">
        <x:f>IF(OR($B11="",$D11="",$E11="",P$8=""),"",IF(AND($E11&gt;=$D11,$D11&lt;=EDATE(P$8,1)-1,$E11&gt;=P$8),1,""))</x:f>
      </x:c>
      <x:c r="Q11" s="25" t="str">
        <x:f>IF(OR($B11="",$D11="",$E11="",Q$8=""),"",IF(AND($E11&gt;=$D11,$D11&lt;=EDATE(Q$8,1)-1,$E11&gt;=Q$8),1,""))</x:f>
      </x:c>
      <x:c r="R11" s="25" t="str">
        <x:f>IF(OR($B11="",$D11="",$E11="",R$8=""),"",IF(AND($E11&gt;=$D11,$D11&lt;=EDATE(R$8,1)-1,$E11&gt;=R$8),1,""))</x:f>
      </x:c>
    </x:row>
    <x:row r="12" ht="43" customHeight="1">
      <x:c r="A12" s="2"/>
      <x:c r="B12" s="20"/>
      <x:c r="C12" s="20"/>
      <x:c r="D12" s="23"/>
      <x:c r="E12" s="23"/>
      <x:c r="F12" s="22"/>
      <x:c r="G12" s="22"/>
      <x:c r="H12" s="20"/>
      <x:c r="I12" s="20"/>
      <x:c r="J12" s="20"/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IF(OR($B12="",$D12="",$E12="",M$8=""),"",IF(AND($E12&gt;=$D12,$D12&lt;=EDATE(M$8,1)-1,$E12&gt;=M$8),1,""))</x:f>
      </x:c>
      <x:c r="N12" s="25" t="str">
        <x:f>IF(OR($B12="",$D12="",$E12="",N$8=""),"",IF(AND($E12&gt;=$D12,$D12&lt;=EDATE(N$8,1)-1,$E12&gt;=N$8),1,""))</x:f>
      </x:c>
      <x:c r="O12" s="25" t="str">
        <x:f>IF(OR($B12="",$D12="",$E12="",O$8=""),"",IF(AND($E12&gt;=$D12,$D12&lt;=EDATE(O$8,1)-1,$E12&gt;=O$8),1,""))</x:f>
      </x:c>
      <x:c r="P12" s="25" t="str">
        <x:f>IF(OR($B12="",$D12="",$E12="",P$8=""),"",IF(AND($E12&gt;=$D12,$D12&lt;=EDATE(P$8,1)-1,$E12&gt;=P$8),1,""))</x:f>
      </x:c>
      <x:c r="Q12" s="25" t="str">
        <x:f>IF(OR($B12="",$D12="",$E12="",Q$8=""),"",IF(AND($E12&gt;=$D12,$D12&lt;=EDATE(Q$8,1)-1,$E12&gt;=Q$8),1,""))</x:f>
      </x:c>
      <x:c r="R12" s="25" t="str">
        <x:f>IF(OR($B12="",$D12="",$E12="",R$8=""),"",IF(AND($E12&gt;=$D12,$D12&lt;=EDATE(R$8,1)-1,$E12&gt;=R$8),1,""))</x:f>
      </x:c>
    </x:row>
    <x:row r="13" ht="43" customHeight="1">
      <x:c r="A13" s="2"/>
      <x:c r="B13" s="20"/>
      <x:c r="C13" s="20"/>
      <x:c r="D13" s="23"/>
      <x:c r="E13" s="23"/>
      <x:c r="F13" s="22"/>
      <x:c r="G13" s="22"/>
      <x:c r="H13" s="20"/>
      <x:c r="I13" s="20"/>
      <x:c r="J13" s="20"/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IF(OR($B13="",$D13="",$E13="",M$8=""),"",IF(AND($E13&gt;=$D13,$D13&lt;=EDATE(M$8,1)-1,$E13&gt;=M$8),1,""))</x:f>
      </x:c>
      <x:c r="N13" s="25" t="str">
        <x:f>IF(OR($B13="",$D13="",$E13="",N$8=""),"",IF(AND($E13&gt;=$D13,$D13&lt;=EDATE(N$8,1)-1,$E13&gt;=N$8),1,""))</x:f>
      </x:c>
      <x:c r="O13" s="25" t="str">
        <x:f>IF(OR($B13="",$D13="",$E13="",O$8=""),"",IF(AND($E13&gt;=$D13,$D13&lt;=EDATE(O$8,1)-1,$E13&gt;=O$8),1,""))</x:f>
      </x:c>
      <x:c r="P13" s="25" t="str">
        <x:f>IF(OR($B13="",$D13="",$E13="",P$8=""),"",IF(AND($E13&gt;=$D13,$D13&lt;=EDATE(P$8,1)-1,$E13&gt;=P$8),1,""))</x:f>
      </x:c>
      <x:c r="Q13" s="25" t="str">
        <x:f>IF(OR($B13="",$D13="",$E13="",Q$8=""),"",IF(AND($E13&gt;=$D13,$D13&lt;=EDATE(Q$8,1)-1,$E13&gt;=Q$8),1,""))</x:f>
      </x:c>
      <x:c r="R13" s="25" t="str">
        <x:f>IF(OR($B13="",$D13="",$E13="",R$8=""),"",IF(AND($E13&gt;=$D13,$D13&lt;=EDATE(R$8,1)-1,$E13&gt;=R$8),1,""))</x:f>
      </x:c>
    </x:row>
    <x:row r="14" ht="43" customHeight="1">
      <x:c r="A14" s="2"/>
      <x:c r="B14" s="20"/>
      <x:c r="C14" s="20"/>
      <x:c r="D14" s="23"/>
      <x:c r="E14" s="23"/>
      <x:c r="F14" s="22"/>
      <x:c r="G14" s="22"/>
      <x:c r="H14" s="20"/>
      <x:c r="I14" s="20"/>
      <x:c r="J14" s="20"/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IF(OR($B14="",$D14="",$E14="",M$8=""),"",IF(AND($E14&gt;=$D14,$D14&lt;=EDATE(M$8,1)-1,$E14&gt;=M$8),1,""))</x:f>
      </x:c>
      <x:c r="N14" s="25" t="str">
        <x:f>IF(OR($B14="",$D14="",$E14="",N$8=""),"",IF(AND($E14&gt;=$D14,$D14&lt;=EDATE(N$8,1)-1,$E14&gt;=N$8),1,""))</x:f>
      </x:c>
      <x:c r="O14" s="25" t="str">
        <x:f>IF(OR($B14="",$D14="",$E14="",O$8=""),"",IF(AND($E14&gt;=$D14,$D14&lt;=EDATE(O$8,1)-1,$E14&gt;=O$8),1,""))</x:f>
      </x:c>
      <x:c r="P14" s="25" t="str">
        <x:f>IF(OR($B14="",$D14="",$E14="",P$8=""),"",IF(AND($E14&gt;=$D14,$D14&lt;=EDATE(P$8,1)-1,$E14&gt;=P$8),1,""))</x:f>
      </x:c>
      <x:c r="Q14" s="25" t="str">
        <x:f>IF(OR($B14="",$D14="",$E14="",Q$8=""),"",IF(AND($E14&gt;=$D14,$D14&lt;=EDATE(Q$8,1)-1,$E14&gt;=Q$8),1,""))</x:f>
      </x:c>
      <x:c r="R14" s="25" t="str">
        <x:f>IF(OR($B14="",$D14="",$E14="",R$8=""),"",IF(AND($E14&gt;=$D14,$D14&lt;=EDATE(R$8,1)-1,$E14&gt;=R$8),1,""))</x:f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IF(OR($B15="",$D15="",$E15="",M$8=""),"",IF(AND($E15&gt;=$D15,$D15&lt;=EDATE(M$8,1)-1,$E15&gt;=M$8),1,""))</x:f>
      </x:c>
      <x:c r="N15" s="25" t="str">
        <x:f>IF(OR($B15="",$D15="",$E15="",N$8=""),"",IF(AND($E15&gt;=$D15,$D15&lt;=EDATE(N$8,1)-1,$E15&gt;=N$8),1,""))</x:f>
      </x:c>
      <x:c r="O15" s="25" t="str">
        <x:f>IF(OR($B15="",$D15="",$E15="",O$8=""),"",IF(AND($E15&gt;=$D15,$D15&lt;=EDATE(O$8,1)-1,$E15&gt;=O$8),1,""))</x:f>
      </x:c>
      <x:c r="P15" s="25" t="str">
        <x:f>IF(OR($B15="",$D15="",$E15="",P$8=""),"",IF(AND($E15&gt;=$D15,$D15&lt;=EDATE(P$8,1)-1,$E15&gt;=P$8),1,""))</x:f>
      </x:c>
      <x:c r="Q15" s="25" t="str">
        <x:f>IF(OR($B15="",$D15="",$E15="",Q$8=""),"",IF(AND($E15&gt;=$D15,$D15&lt;=EDATE(Q$8,1)-1,$E15&gt;=Q$8),1,""))</x:f>
      </x:c>
      <x:c r="R15" s="25" t="str">
        <x:f>IF(OR($B15="",$D15="",$E15="",R$8=""),"",IF(AND($E15&gt;=$D15,$D15&lt;=EDATE(R$8,1)-1,$E15&gt;=R$8),1,""))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IF(OR($B16="",$D16="",$E16="",M$8=""),"",IF(AND($E16&gt;=$D16,$D16&lt;=EDATE(M$8,1)-1,$E16&gt;=M$8),1,""))</x:f>
      </x:c>
      <x:c r="N16" s="25" t="str">
        <x:f>IF(OR($B16="",$D16="",$E16="",N$8=""),"",IF(AND($E16&gt;=$D16,$D16&lt;=EDATE(N$8,1)-1,$E16&gt;=N$8),1,""))</x:f>
      </x:c>
      <x:c r="O16" s="25" t="str">
        <x:f>IF(OR($B16="",$D16="",$E16="",O$8=""),"",IF(AND($E16&gt;=$D16,$D16&lt;=EDATE(O$8,1)-1,$E16&gt;=O$8),1,""))</x:f>
      </x:c>
      <x:c r="P16" s="25" t="str">
        <x:f>IF(OR($B16="",$D16="",$E16="",P$8=""),"",IF(AND($E16&gt;=$D16,$D16&lt;=EDATE(P$8,1)-1,$E16&gt;=P$8),1,""))</x:f>
      </x:c>
      <x:c r="Q16" s="25" t="str">
        <x:f>IF(OR($B16="",$D16="",$E16="",Q$8=""),"",IF(AND($E16&gt;=$D16,$D16&lt;=EDATE(Q$8,1)-1,$E16&gt;=Q$8),1,""))</x:f>
      </x:c>
      <x:c r="R16" s="25" t="str">
        <x:f>IF(OR($B16="",$D16="",$E16="",R$8=""),"",IF(AND($E16&gt;=$D16,$D16&lt;=EDATE(R$8,1)-1,$E16&gt;=R$8),1,""))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IF(OR($B17="",$D17="",$E17="",M$8=""),"",IF(AND($E17&gt;=$D17,$D17&lt;=EDATE(M$8,1)-1,$E17&gt;=M$8),1,""))</x:f>
      </x:c>
      <x:c r="N17" s="25" t="str">
        <x:f>IF(OR($B17="",$D17="",$E17="",N$8=""),"",IF(AND($E17&gt;=$D17,$D17&lt;=EDATE(N$8,1)-1,$E17&gt;=N$8),1,""))</x:f>
      </x:c>
      <x:c r="O17" s="25" t="str">
        <x:f>IF(OR($B17="",$D17="",$E17="",O$8=""),"",IF(AND($E17&gt;=$D17,$D17&lt;=EDATE(O$8,1)-1,$E17&gt;=O$8),1,""))</x:f>
      </x:c>
      <x:c r="P17" s="25" t="str">
        <x:f>IF(OR($B17="",$D17="",$E17="",P$8=""),"",IF(AND($E17&gt;=$D17,$D17&lt;=EDATE(P$8,1)-1,$E17&gt;=P$8),1,""))</x:f>
      </x:c>
      <x:c r="Q17" s="25" t="str">
        <x:f>IF(OR($B17="",$D17="",$E17="",Q$8=""),"",IF(AND($E17&gt;=$D17,$D17&lt;=EDATE(Q$8,1)-1,$E17&gt;=Q$8),1,""))</x:f>
      </x:c>
      <x:c r="R17" s="25" t="str">
        <x:f>IF(OR($B17="",$D17="",$E17="",R$8=""),"",IF(AND($E17&gt;=$D17,$D17&lt;=EDATE(R$8,1)-1,$E17&gt;=R$8),1,""))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IF(OR($B18="",$D18="",$E18="",M$8=""),"",IF(AND($E18&gt;=$D18,$D18&lt;=EDATE(M$8,1)-1,$E18&gt;=M$8),1,""))</x:f>
      </x:c>
      <x:c r="N18" s="25" t="str">
        <x:f>IF(OR($B18="",$D18="",$E18="",N$8=""),"",IF(AND($E18&gt;=$D18,$D18&lt;=EDATE(N$8,1)-1,$E18&gt;=N$8),1,""))</x:f>
      </x:c>
      <x:c r="O18" s="25" t="str">
        <x:f>IF(OR($B18="",$D18="",$E18="",O$8=""),"",IF(AND($E18&gt;=$D18,$D18&lt;=EDATE(O$8,1)-1,$E18&gt;=O$8),1,""))</x:f>
      </x:c>
      <x:c r="P18" s="25" t="str">
        <x:f>IF(OR($B18="",$D18="",$E18="",P$8=""),"",IF(AND($E18&gt;=$D18,$D18&lt;=EDATE(P$8,1)-1,$E18&gt;=P$8),1,""))</x:f>
      </x:c>
      <x:c r="Q18" s="25" t="str">
        <x:f>IF(OR($B18="",$D18="",$E18="",Q$8=""),"",IF(AND($E18&gt;=$D18,$D18&lt;=EDATE(Q$8,1)-1,$E18&gt;=Q$8),1,""))</x:f>
      </x:c>
      <x:c r="R18" s="25" t="str">
        <x:f>IF(OR($B18="",$D18="",$E18="",R$8=""),"",IF(AND($E18&gt;=$D18,$D18&lt;=EDATE(R$8,1)-1,$E18&gt;=R$8),1,""))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IF(OR($B19="",$D19="",$E19="",M$8=""),"",IF(AND($E19&gt;=$D19,$D19&lt;=EDATE(M$8,1)-1,$E19&gt;=M$8),1,""))</x:f>
      </x:c>
      <x:c r="N19" s="25" t="str">
        <x:f>IF(OR($B19="",$D19="",$E19="",N$8=""),"",IF(AND($E19&gt;=$D19,$D19&lt;=EDATE(N$8,1)-1,$E19&gt;=N$8),1,""))</x:f>
      </x:c>
      <x:c r="O19" s="25" t="str">
        <x:f>IF(OR($B19="",$D19="",$E19="",O$8=""),"",IF(AND($E19&gt;=$D19,$D19&lt;=EDATE(O$8,1)-1,$E19&gt;=O$8),1,""))</x:f>
      </x:c>
      <x:c r="P19" s="25" t="str">
        <x:f>IF(OR($B19="",$D19="",$E19="",P$8=""),"",IF(AND($E19&gt;=$D19,$D19&lt;=EDATE(P$8,1)-1,$E19&gt;=P$8),1,""))</x:f>
      </x:c>
      <x:c r="Q19" s="25" t="str">
        <x:f>IF(OR($B19="",$D19="",$E19="",Q$8=""),"",IF(AND($E19&gt;=$D19,$D19&lt;=EDATE(Q$8,1)-1,$E19&gt;=Q$8),1,""))</x:f>
      </x:c>
      <x:c r="R19" s="25" t="str">
        <x:f>IF(OR($B19="",$D19="",$E19="",R$8=""),"",IF(AND($E19&gt;=$D19,$D19&lt;=EDATE(R$8,1)-1,$E19&gt;=R$8),1,""))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IF(OR($B20="",$D20="",$E20="",M$8=""),"",IF(AND($E20&gt;=$D20,$D20&lt;=EDATE(M$8,1)-1,$E20&gt;=M$8),1,""))</x:f>
      </x:c>
      <x:c r="N20" s="25" t="str">
        <x:f>IF(OR($B20="",$D20="",$E20="",N$8=""),"",IF(AND($E20&gt;=$D20,$D20&lt;=EDATE(N$8,1)-1,$E20&gt;=N$8),1,""))</x:f>
      </x:c>
      <x:c r="O20" s="25" t="str">
        <x:f>IF(OR($B20="",$D20="",$E20="",O$8=""),"",IF(AND($E20&gt;=$D20,$D20&lt;=EDATE(O$8,1)-1,$E20&gt;=O$8),1,""))</x:f>
      </x:c>
      <x:c r="P20" s="25" t="str">
        <x:f>IF(OR($B20="",$D20="",$E20="",P$8=""),"",IF(AND($E20&gt;=$D20,$D20&lt;=EDATE(P$8,1)-1,$E20&gt;=P$8),1,""))</x:f>
      </x:c>
      <x:c r="Q20" s="25" t="str">
        <x:f>IF(OR($B20="",$D20="",$E20="",Q$8=""),"",IF(AND($E20&gt;=$D20,$D20&lt;=EDATE(Q$8,1)-1,$E20&gt;=Q$8),1,""))</x:f>
      </x:c>
      <x:c r="R20" s="25" t="str">
        <x:f>IF(OR($B20="",$D20="",$E20="",R$8=""),"",IF(AND($E20&gt;=$D20,$D20&lt;=EDATE(R$8,1)-1,$E20&gt;=R$8),1,""))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IF(OR($B21="",$D21="",$E21="",M$8=""),"",IF(AND($E21&gt;=$D21,$D21&lt;=EDATE(M$8,1)-1,$E21&gt;=M$8),1,""))</x:f>
      </x:c>
      <x:c r="N21" s="25" t="str">
        <x:f>IF(OR($B21="",$D21="",$E21="",N$8=""),"",IF(AND($E21&gt;=$D21,$D21&lt;=EDATE(N$8,1)-1,$E21&gt;=N$8),1,""))</x:f>
      </x:c>
      <x:c r="O21" s="25" t="str">
        <x:f>IF(OR($B21="",$D21="",$E21="",O$8=""),"",IF(AND($E21&gt;=$D21,$D21&lt;=EDATE(O$8,1)-1,$E21&gt;=O$8),1,""))</x:f>
      </x:c>
      <x:c r="P21" s="25" t="str">
        <x:f>IF(OR($B21="",$D21="",$E21="",P$8=""),"",IF(AND($E21&gt;=$D21,$D21&lt;=EDATE(P$8,1)-1,$E21&gt;=P$8),1,""))</x:f>
      </x:c>
      <x:c r="Q21" s="25" t="str">
        <x:f>IF(OR($B21="",$D21="",$E21="",Q$8=""),"",IF(AND($E21&gt;=$D21,$D21&lt;=EDATE(Q$8,1)-1,$E21&gt;=Q$8),1,""))</x:f>
      </x:c>
      <x:c r="R21" s="25" t="str">
        <x:f>IF(OR($B21="",$D21="",$E21="",R$8=""),"",IF(AND($E21&gt;=$D21,$D21&lt;=EDATE(R$8,1)-1,$E21&gt;=R$8),1,""))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</x:sheetData>
  <x:conditionalFormatting sqref="F10:F21">
    <x:cfRule type="expression" dxfId="60" priority="1">
      <x:formula>$F10="A fazer"</x:formula>
    </x:cfRule>
    <x:cfRule type="expression" dxfId="62" priority="3">
      <x:formula>$F10="Em andamento"</x:formula>
    </x:cfRule>
    <x:cfRule type="expression" dxfId="64" priority="5">
      <x:formula>$F10="Em validação"</x:formula>
    </x:cfRule>
    <x:cfRule type="expression" dxfId="66" priority="7">
      <x:formula>$F10="Concluído"</x:formula>
    </x:cfRule>
    <x:cfRule type="expression" dxfId="68" priority="9">
      <x:formula>$F10="Bloqueado"</x:formula>
    </x:cfRule>
    <x:cfRule type="expression" dxfId="70" priority="11">
      <x:formula>$F10="Pausado"</x:formula>
    </x:cfRule>
  </x:conditionalFormatting>
  <x:conditionalFormatting sqref="M10:R21">
    <x:cfRule type="expression" dxfId="61" priority="2">
      <x:formula>AND(M10=1,$F10="A fazer")</x:formula>
    </x:cfRule>
    <x:cfRule type="expression" dxfId="63" priority="4">
      <x:formula>AND(M10=1,$F10="Em andamento")</x:formula>
    </x:cfRule>
    <x:cfRule type="expression" dxfId="65" priority="6">
      <x:formula>AND(M10=1,$F10="Em validação")</x:formula>
    </x:cfRule>
    <x:cfRule type="expression" dxfId="67" priority="8">
      <x:formula>AND(M10=1,$F10="Concluído")</x:formula>
    </x:cfRule>
    <x:cfRule type="expression" dxfId="69" priority="10">
      <x:formula>AND(M10=1,$F10="Bloqueado")</x:formula>
    </x:cfRule>
    <x:cfRule type="expression" dxfId="71" priority="12">
      <x:formula>AND(M10=1,$F10="Pausado")</x:formula>
    </x:cfRule>
    <x:cfRule type="expression" dxfId="72" priority="13">
      <x:formula>AND(M10=1,$F10="")</x:formula>
    </x:cfRule>
  </x:conditionalFormatting>
  <x:conditionalFormatting sqref="K10:K21">
    <x:cfRule type="containsText" dxfId="73" priority="14" operator="containsText" text="Rever datas"/>
    <x:cfRule type="containsText" dxfId="74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008B87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23.329999923706055" hidden="0" customWidth="1"/>
    <x:col min="14" max="14" width="23.329999923706055" hidden="0" customWidth="1"/>
    <x:col min="15" max="15" width="23.329999923706055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1" customHeight="1">
      <x:c r="A2" s="2"/>
      <x:c r="B2" s="3" t="str">
        <x:v>Agora, Depois, Futuro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1" customHeight="1">
      <x:c r="A3" s="2"/>
      <x:c r="B3" s="17" t="str">
        <x:v>Modelo para preencher</x:v>
      </x:c>
      <x:c r="C3" s="2"/>
      <x:c r="D3" s="2"/>
      <x:c r="E3" s="2"/>
      <x:c r="F3" s="2"/>
      <x:c r="G3" s="2"/>
      <x:c r="H3" s="2"/>
      <x:c r="I3" s="16" t="str">
        <x:v>Três horizontes sem prazo fixo</x:v>
      </x:c>
      <x:c r="J3" s="2"/>
      <x:c r="K3" s="2"/>
      <x:c r="L3" s="2"/>
      <x:c r="M3" s="2"/>
      <x:c r="N3" s="2"/>
      <x:c r="O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1" customHeight="1">
      <x:c r="A5" s="2"/>
      <x:c r="B5" s="2" t="str">
        <x:v>Última revisão</x:v>
      </x:c>
      <x:c r="C5" s="19"/>
      <x:c r="D5" s="2"/>
      <x:c r="E5" s="2"/>
      <x:c r="F5" s="2" t="str">
        <x:v>Próxima revisão</x:v>
      </x:c>
      <x:c r="G5" s="19"/>
      <x:c r="H5" s="2"/>
      <x:c r="I5" s="2"/>
      <x:c r="J5" s="2"/>
      <x:c r="K5" s="2"/>
      <x:c r="L5" s="2"/>
      <x:c r="M5" s="2"/>
      <x:c r="N5" s="2"/>
      <x:c r="O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12 linhas disponíveis</x:v>
      </x:c>
      <x:c r="K7" s="16"/>
      <x:c r="L7" s="2"/>
      <x:c r="M7" s="2"/>
      <x:c r="N7" s="2"/>
      <x:c r="O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Horizonte</x:v>
      </x:c>
      <x:c r="E9" s="8" t="str">
        <x:v>Revisar em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Agora</x:v>
      </x:c>
      <x:c r="N9" s="8" t="str">
        <x:v>Depois</x:v>
      </x:c>
      <x:c r="O9" s="8" t="str">
        <x:v>Futuro</x:v>
      </x:c>
    </x:row>
    <x:row r="10" ht="43" customHeight="1">
      <x:c r="A10" s="2"/>
      <x:c r="B10" s="20"/>
      <x:c r="C10" s="20"/>
      <x:c r="D10" s="21"/>
      <x:c r="E10" s="23"/>
      <x:c r="F10" s="22"/>
      <x:c r="G10" s="22"/>
      <x:c r="H10" s="20"/>
      <x:c r="I10" s="20"/>
      <x:c r="J10" s="20"/>
      <x:c r="K10" s="13" t="str">
        <x:f>IF(B10="","",IF(D10="","Definir horizonte",IF(E10="","Definir revisão",IF(AND(ISNUMBER($C$5),E10&lt;$C$5,F10&lt;&gt;"Concluído"),"Revisar item",""))))</x:f>
      </x:c>
      <x:c r="L10" s="2"/>
      <x:c r="M10" s="25" t="str">
        <x:f>IF($B10="","",IF($D10=M$9,1,""))</x:f>
      </x:c>
      <x:c r="N10" s="25" t="str">
        <x:f>IF($B10="","",IF($D10=N$9,1,""))</x:f>
      </x:c>
      <x:c r="O10" s="25" t="str">
        <x:f>IF($B10="","",IF($D10=O$9,1,""))</x:f>
      </x:c>
    </x:row>
    <x:row r="11" ht="43" customHeight="1">
      <x:c r="A11" s="2"/>
      <x:c r="B11" s="20"/>
      <x:c r="C11" s="20"/>
      <x:c r="D11" s="21"/>
      <x:c r="E11" s="23"/>
      <x:c r="F11" s="22"/>
      <x:c r="G11" s="22"/>
      <x:c r="H11" s="20"/>
      <x:c r="I11" s="20"/>
      <x:c r="J11" s="20"/>
      <x:c r="K11" s="13" t="str">
        <x:f>IF(B11="","",IF(D11="","Definir horizonte",IF(E11="","Definir revisão",IF(AND(ISNUMBER($C$5),E11&lt;$C$5,F11&lt;&gt;"Concluído"),"Revisar item",""))))</x:f>
      </x:c>
      <x:c r="L11" s="2"/>
      <x:c r="M11" s="25" t="str">
        <x:f>IF($B11="","",IF($D11=M$9,1,""))</x:f>
      </x:c>
      <x:c r="N11" s="25" t="str">
        <x:f>IF($B11="","",IF($D11=N$9,1,""))</x:f>
      </x:c>
      <x:c r="O11" s="25" t="str">
        <x:f>IF($B11="","",IF($D11=O$9,1,""))</x:f>
      </x:c>
    </x:row>
    <x:row r="12" ht="43" customHeight="1">
      <x:c r="A12" s="2"/>
      <x:c r="B12" s="20"/>
      <x:c r="C12" s="20"/>
      <x:c r="D12" s="21"/>
      <x:c r="E12" s="23"/>
      <x:c r="F12" s="22"/>
      <x:c r="G12" s="22"/>
      <x:c r="H12" s="20"/>
      <x:c r="I12" s="20"/>
      <x:c r="J12" s="20"/>
      <x:c r="K12" s="13" t="str">
        <x:f>IF(B12="","",IF(D12="","Definir horizonte",IF(E12="","Definir revisão",IF(AND(ISNUMBER($C$5),E12&lt;$C$5,F12&lt;&gt;"Concluído"),"Revisar item",""))))</x:f>
      </x:c>
      <x:c r="L12" s="2"/>
      <x:c r="M12" s="25" t="str">
        <x:f>IF($B12="","",IF($D12=M$9,1,""))</x:f>
      </x:c>
      <x:c r="N12" s="25" t="str">
        <x:f>IF($B12="","",IF($D12=N$9,1,""))</x:f>
      </x:c>
      <x:c r="O12" s="25" t="str">
        <x:f>IF($B12="","",IF($D12=O$9,1,""))</x:f>
      </x:c>
    </x:row>
    <x:row r="13" ht="43" customHeight="1">
      <x:c r="A13" s="2"/>
      <x:c r="B13" s="20"/>
      <x:c r="C13" s="20"/>
      <x:c r="D13" s="21"/>
      <x:c r="E13" s="23"/>
      <x:c r="F13" s="22"/>
      <x:c r="G13" s="22"/>
      <x:c r="H13" s="20"/>
      <x:c r="I13" s="20"/>
      <x:c r="J13" s="20"/>
      <x:c r="K13" s="13" t="str">
        <x:f>IF(B13="","",IF(D13="","Definir horizonte",IF(E13="","Definir revisão",IF(AND(ISNUMBER($C$5),E13&lt;$C$5,F13&lt;&gt;"Concluído"),"Revisar item",""))))</x:f>
      </x:c>
      <x:c r="L13" s="2"/>
      <x:c r="M13" s="25" t="str">
        <x:f>IF($B13="","",IF($D13=M$9,1,""))</x:f>
      </x:c>
      <x:c r="N13" s="25" t="str">
        <x:f>IF($B13="","",IF($D13=N$9,1,""))</x:f>
      </x:c>
      <x:c r="O13" s="25" t="str">
        <x:f>IF($B13="","",IF($D13=O$9,1,""))</x:f>
      </x:c>
    </x:row>
    <x:row r="14" ht="43" customHeight="1">
      <x:c r="A14" s="2"/>
      <x:c r="B14" s="20"/>
      <x:c r="C14" s="20"/>
      <x:c r="D14" s="21"/>
      <x:c r="E14" s="23"/>
      <x:c r="F14" s="22"/>
      <x:c r="G14" s="22"/>
      <x:c r="H14" s="20"/>
      <x:c r="I14" s="20"/>
      <x:c r="J14" s="20"/>
      <x:c r="K14" s="13" t="str">
        <x:f>IF(B14="","",IF(D14="","Definir horizonte",IF(E14="","Definir revisão",IF(AND(ISNUMBER($C$5),E14&lt;$C$5,F14&lt;&gt;"Concluído"),"Revisar item",""))))</x:f>
      </x:c>
      <x:c r="L14" s="2"/>
      <x:c r="M14" s="25" t="str">
        <x:f>IF($B14="","",IF($D14=M$9,1,""))</x:f>
      </x:c>
      <x:c r="N14" s="25" t="str">
        <x:f>IF($B14="","",IF($D14=N$9,1,""))</x:f>
      </x:c>
      <x:c r="O14" s="25" t="str">
        <x:f>IF($B14="","",IF($D14=O$9,1,""))</x:f>
      </x:c>
    </x:row>
    <x:row r="15" ht="43" customHeight="1">
      <x:c r="A15" s="2"/>
      <x:c r="B15" s="20"/>
      <x:c r="C15" s="20"/>
      <x:c r="D15" s="21"/>
      <x:c r="E15" s="23"/>
      <x:c r="F15" s="22"/>
      <x:c r="G15" s="22"/>
      <x:c r="H15" s="20"/>
      <x:c r="I15" s="20"/>
      <x:c r="J15" s="20"/>
      <x:c r="K15" s="13" t="str">
        <x:f>IF(B15="","",IF(D15="","Definir horizonte",IF(E15="","Definir revisão",IF(AND(ISNUMBER($C$5),E15&lt;$C$5,F15&lt;&gt;"Concluído"),"Revisar item",""))))</x:f>
      </x:c>
      <x:c r="L15" s="2"/>
      <x:c r="M15" s="25" t="str">
        <x:f>IF($B15="","",IF($D15=M$9,1,""))</x:f>
      </x:c>
      <x:c r="N15" s="25" t="str">
        <x:f>IF($B15="","",IF($D15=N$9,1,""))</x:f>
      </x:c>
      <x:c r="O15" s="25" t="str">
        <x:f>IF($B15="","",IF($D15=O$9,1,""))</x:f>
      </x:c>
    </x:row>
    <x:row r="16" ht="43" customHeight="1">
      <x:c r="A16" s="2"/>
      <x:c r="B16" s="20"/>
      <x:c r="C16" s="20"/>
      <x:c r="D16" s="21"/>
      <x:c r="E16" s="23"/>
      <x:c r="F16" s="22"/>
      <x:c r="G16" s="22"/>
      <x:c r="H16" s="20"/>
      <x:c r="I16" s="20"/>
      <x:c r="J16" s="20"/>
      <x:c r="K16" s="13" t="str">
        <x:f>IF(B16="","",IF(D16="","Definir horizonte",IF(E16="","Definir revisão",IF(AND(ISNUMBER($C$5),E16&lt;$C$5,F16&lt;&gt;"Concluído"),"Revisar item",""))))</x:f>
      </x:c>
      <x:c r="L16" s="2"/>
      <x:c r="M16" s="25" t="str">
        <x:f>IF($B16="","",IF($D16=M$9,1,""))</x:f>
      </x:c>
      <x:c r="N16" s="25" t="str">
        <x:f>IF($B16="","",IF($D16=N$9,1,""))</x:f>
      </x:c>
      <x:c r="O16" s="25" t="str">
        <x:f>IF($B16="","",IF($D16=O$9,1,""))</x:f>
      </x:c>
    </x:row>
    <x:row r="17" ht="43" customHeight="1">
      <x:c r="A17" s="2"/>
      <x:c r="B17" s="20"/>
      <x:c r="C17" s="20"/>
      <x:c r="D17" s="21"/>
      <x:c r="E17" s="23"/>
      <x:c r="F17" s="22"/>
      <x:c r="G17" s="22"/>
      <x:c r="H17" s="20"/>
      <x:c r="I17" s="20"/>
      <x:c r="J17" s="20"/>
      <x:c r="K17" s="13" t="str">
        <x:f>IF(B17="","",IF(D17="","Definir horizonte",IF(E17="","Definir revisão",IF(AND(ISNUMBER($C$5),E17&lt;$C$5,F17&lt;&gt;"Concluído"),"Revisar item",""))))</x:f>
      </x:c>
      <x:c r="L17" s="2"/>
      <x:c r="M17" s="25" t="str">
        <x:f>IF($B17="","",IF($D17=M$9,1,""))</x:f>
      </x:c>
      <x:c r="N17" s="25" t="str">
        <x:f>IF($B17="","",IF($D17=N$9,1,""))</x:f>
      </x:c>
      <x:c r="O17" s="25" t="str">
        <x:f>IF($B17="","",IF($D17=O$9,1,""))</x:f>
      </x:c>
    </x:row>
    <x:row r="18" ht="43" customHeight="1">
      <x:c r="A18" s="2"/>
      <x:c r="B18" s="20"/>
      <x:c r="C18" s="20"/>
      <x:c r="D18" s="21"/>
      <x:c r="E18" s="23"/>
      <x:c r="F18" s="22"/>
      <x:c r="G18" s="22"/>
      <x:c r="H18" s="20"/>
      <x:c r="I18" s="20"/>
      <x:c r="J18" s="20"/>
      <x:c r="K18" s="13" t="str">
        <x:f>IF(B18="","",IF(D18="","Definir horizonte",IF(E18="","Definir revisão",IF(AND(ISNUMBER($C$5),E18&lt;$C$5,F18&lt;&gt;"Concluído"),"Revisar item",""))))</x:f>
      </x:c>
      <x:c r="L18" s="2"/>
      <x:c r="M18" s="25" t="str">
        <x:f>IF($B18="","",IF($D18=M$9,1,""))</x:f>
      </x:c>
      <x:c r="N18" s="25" t="str">
        <x:f>IF($B18="","",IF($D18=N$9,1,""))</x:f>
      </x:c>
      <x:c r="O18" s="25" t="str">
        <x:f>IF($B18="","",IF($D18=O$9,1,""))</x:f>
      </x:c>
    </x:row>
    <x:row r="19" ht="43" customHeight="1">
      <x:c r="A19" s="2"/>
      <x:c r="B19" s="20"/>
      <x:c r="C19" s="20"/>
      <x:c r="D19" s="21"/>
      <x:c r="E19" s="23"/>
      <x:c r="F19" s="22"/>
      <x:c r="G19" s="22"/>
      <x:c r="H19" s="20"/>
      <x:c r="I19" s="20"/>
      <x:c r="J19" s="20"/>
      <x:c r="K19" s="13" t="str">
        <x:f>IF(B19="","",IF(D19="","Definir horizonte",IF(E19="","Definir revisão",IF(AND(ISNUMBER($C$5),E19&lt;$C$5,F19&lt;&gt;"Concluído"),"Revisar item",""))))</x:f>
      </x:c>
      <x:c r="L19" s="2"/>
      <x:c r="M19" s="25" t="str">
        <x:f>IF($B19="","",IF($D19=M$9,1,""))</x:f>
      </x:c>
      <x:c r="N19" s="25" t="str">
        <x:f>IF($B19="","",IF($D19=N$9,1,""))</x:f>
      </x:c>
      <x:c r="O19" s="25" t="str">
        <x:f>IF($B19="","",IF($D19=O$9,1,""))</x:f>
      </x:c>
    </x:row>
    <x:row r="20" ht="43" customHeight="1">
      <x:c r="A20" s="2"/>
      <x:c r="B20" s="20"/>
      <x:c r="C20" s="20"/>
      <x:c r="D20" s="21"/>
      <x:c r="E20" s="23"/>
      <x:c r="F20" s="22"/>
      <x:c r="G20" s="22"/>
      <x:c r="H20" s="20"/>
      <x:c r="I20" s="20"/>
      <x:c r="J20" s="20"/>
      <x:c r="K20" s="13" t="str">
        <x:f>IF(B20="","",IF(D20="","Definir horizonte",IF(E20="","Definir revisão",IF(AND(ISNUMBER($C$5),E20&lt;$C$5,F20&lt;&gt;"Concluído"),"Revisar item",""))))</x:f>
      </x:c>
      <x:c r="L20" s="2"/>
      <x:c r="M20" s="25" t="str">
        <x:f>IF($B20="","",IF($D20=M$9,1,""))</x:f>
      </x:c>
      <x:c r="N20" s="25" t="str">
        <x:f>IF($B20="","",IF($D20=N$9,1,""))</x:f>
      </x:c>
      <x:c r="O20" s="25" t="str">
        <x:f>IF($B20="","",IF($D20=O$9,1,""))</x:f>
      </x:c>
    </x:row>
    <x:row r="21" ht="43" customHeight="1">
      <x:c r="A21" s="2"/>
      <x:c r="B21" s="20"/>
      <x:c r="C21" s="20"/>
      <x:c r="D21" s="21"/>
      <x:c r="E21" s="23"/>
      <x:c r="F21" s="22"/>
      <x:c r="G21" s="22"/>
      <x:c r="H21" s="20"/>
      <x:c r="I21" s="20"/>
      <x:c r="J21" s="20"/>
      <x:c r="K21" s="13" t="str">
        <x:f>IF(B21="","",IF(D21="","Definir horizonte",IF(E21="","Definir revisão",IF(AND(ISNUMBER($C$5),E21&lt;$C$5,F21&lt;&gt;"Concluído"),"Revisar item",""))))</x:f>
      </x:c>
      <x:c r="L21" s="2"/>
      <x:c r="M21" s="25" t="str">
        <x:f>IF($B21="","",IF($D21=M$9,1,""))</x:f>
      </x:c>
      <x:c r="N21" s="25" t="str">
        <x:f>IF($B21="","",IF($D21=N$9,1,""))</x:f>
      </x:c>
      <x:c r="O21" s="25" t="str">
        <x:f>IF($B21="","",IF($D21=O$9,1,""))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1" customHeight="1">
      <x:c r="A25" s="2"/>
      <x:c r="B25" s="16" t="str">
        <x:v>1. Defina a revisão do planejamento.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1" customHeight="1">
      <x:c r="A26" s="2"/>
      <x:c r="B26" s="16" t="str">
        <x:v>2. Escolha Agora, Depois ou Futuro.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1" customHeight="1">
      <x:c r="A27" s="2"/>
      <x:c r="B27" s="16" t="str">
        <x:v>3. Registre responsável, resultado 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1" customHeight="1">
      <x:c r="A28" s="2"/>
      <x:c r="B28" s="16" t="str">
        <x:v>Horizontes não representam datas prometidas.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</x:sheetData>
  <x:conditionalFormatting sqref="F10:F21">
    <x:cfRule type="expression" dxfId="75" priority="1">
      <x:formula>$F10="A fazer"</x:formula>
    </x:cfRule>
    <x:cfRule type="expression" dxfId="77" priority="3">
      <x:formula>$F10="Em andamento"</x:formula>
    </x:cfRule>
    <x:cfRule type="expression" dxfId="79" priority="5">
      <x:formula>$F10="Em validação"</x:formula>
    </x:cfRule>
    <x:cfRule type="expression" dxfId="81" priority="7">
      <x:formula>$F10="Concluído"</x:formula>
    </x:cfRule>
    <x:cfRule type="expression" dxfId="83" priority="9">
      <x:formula>$F10="Bloqueado"</x:formula>
    </x:cfRule>
    <x:cfRule type="expression" dxfId="85" priority="11">
      <x:formula>$F10="Pausado"</x:formula>
    </x:cfRule>
  </x:conditionalFormatting>
  <x:conditionalFormatting sqref="M10:O21">
    <x:cfRule type="expression" dxfId="76" priority="2">
      <x:formula>AND(M10=1,$F10="A fazer")</x:formula>
    </x:cfRule>
    <x:cfRule type="expression" dxfId="78" priority="4">
      <x:formula>AND(M10=1,$F10="Em andamento")</x:formula>
    </x:cfRule>
    <x:cfRule type="expression" dxfId="80" priority="6">
      <x:formula>AND(M10=1,$F10="Em validação")</x:formula>
    </x:cfRule>
    <x:cfRule type="expression" dxfId="82" priority="8">
      <x:formula>AND(M10=1,$F10="Concluído")</x:formula>
    </x:cfRule>
    <x:cfRule type="expression" dxfId="84" priority="10">
      <x:formula>AND(M10=1,$F10="Bloqueado")</x:formula>
    </x:cfRule>
    <x:cfRule type="expression" dxfId="86" priority="12">
      <x:formula>AND(M10=1,$F10="Pausado")</x:formula>
    </x:cfRule>
    <x:cfRule type="expression" dxfId="87" priority="13">
      <x:formula>AND(M10=1,$F10="")</x:formula>
    </x:cfRule>
  </x:conditionalFormatting>
  <x:conditionalFormatting sqref="K10:K21">
    <x:cfRule type="containsText" dxfId="88" priority="14" operator="containsText" text="Rever datas"/>
    <x:cfRule type="containsText" dxfId="89" priority="15" operator="containsText" text="Revisar"/>
  </x:conditionalFormatting>
  <x:dataValidations count="3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  <x:dataValidation type="list" sqref="D10:D21">
      <x:formula1>"Agora,Depois,Futuro"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AEBBC0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17.780000686645508" hidden="0" customWidth="1"/>
    <x:col min="14" max="14" width="17.780000686645508" hidden="0" customWidth="1"/>
    <x:col min="15" max="15" width="17.780000686645508" hidden="0" customWidth="1"/>
    <x:col min="16" max="16" width="17.780000686645508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1" customHeight="1">
      <x:c r="A2" s="2"/>
      <x:c r="B2" s="3" t="str">
        <x:v>Estratégico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 ht="21" customHeight="1">
      <x:c r="A3" s="2"/>
      <x:c r="B3" s="30" t="str">
        <x:v>Exemplo fictício</x:v>
      </x:c>
      <x:c r="C3" s="2"/>
      <x:c r="D3" s="2"/>
      <x:c r="E3" s="2"/>
      <x:c r="F3" s="2"/>
      <x:c r="G3" s="2"/>
      <x:c r="H3" s="2"/>
      <x:c r="I3" s="16" t="str">
        <x:v>12 meses em quatro trimestres</x:v>
      </x:c>
      <x:c r="J3" s="2"/>
      <x:c r="K3" s="2"/>
      <x:c r="L3" s="2"/>
      <x:c r="M3" s="2"/>
      <x:c r="N3" s="2"/>
      <x:c r="O3" s="2"/>
      <x:c r="P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1" customHeight="1">
      <x:c r="A5" s="2"/>
      <x:c r="B5" s="2" t="str">
        <x:v>Data-base</x:v>
      </x:c>
      <x:c r="C5" s="19" t="d">
        <x:v>2027-01-01T00:00:00.000Z</x:v>
      </x:c>
      <x:c r="D5" s="2"/>
      <x:c r="E5" s="2"/>
      <x:c r="F5" s="2" t="str">
        <x:v>Data de revisão</x:v>
      </x:c>
      <x:c r="G5" s="19" t="d">
        <x:v>2027-03-01T00:00:00.000Z</x:v>
      </x:c>
      <x:c r="H5" s="2"/>
      <x:c r="I5" s="2"/>
      <x:c r="J5" s="2"/>
      <x:c r="K5" s="2"/>
      <x:c r="L5" s="2"/>
      <x:c r="M5" s="2"/>
      <x:c r="N5" s="2"/>
      <x:c r="O5" s="2"/>
      <x:c r="P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Dados e datas fictícios</x:v>
      </x:c>
      <x:c r="K7" s="16"/>
      <x:c r="L7" s="2"/>
      <x:c r="M7" s="2"/>
      <x:c r="N7" s="2"/>
      <x:c r="O7" s="2"/>
      <x:c r="P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n">
        <x:f>IF($C$5="","",EDATE($C$5,0))</x:f>
        <x:v>46388</x:v>
      </x:c>
      <x:c r="N8" s="28" t="n">
        <x:f>IF($C$5="","",EDATE($C$5,3))</x:f>
        <x:v>46478</x:v>
      </x:c>
      <x:c r="O8" s="28" t="n">
        <x:f>IF($C$5="","",EDATE($C$5,6))</x:f>
        <x:v>46569</x:v>
      </x:c>
      <x:c r="P8" s="28" t="n">
        <x:f>IF($C$5="","",EDATE($C$5,9))</x:f>
        <x:v>46661</x:v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T1</x:v>
      </x:c>
      <x:c r="N9" s="8" t="str">
        <x:v>T2</x:v>
      </x:c>
      <x:c r="O9" s="8" t="str">
        <x:v>T3</x:v>
      </x:c>
      <x:c r="P9" s="8" t="str">
        <x:v>T4</x:v>
      </x:c>
    </x:row>
    <x:row r="10" ht="43" customHeight="1">
      <x:c r="A10" s="2"/>
      <x:c r="B10" s="20" t="str">
        <x:v>S01 - Definir prioridades</x:v>
      </x:c>
      <x:c r="C10" s="20" t="str">
        <x:v>Planejamento</x:v>
      </x:c>
      <x:c r="D10" s="23" t="d">
        <x:v>2027-01-01T00:00:00.000Z</x:v>
      </x:c>
      <x:c r="E10" s="23" t="d">
        <x:v>2027-02-28T00:00:00.000Z</x:v>
      </x:c>
      <x:c r="F10" s="22" t="str">
        <x:v>Concluído</x:v>
      </x:c>
      <x:c r="G10" s="22" t="str">
        <x:v>Alta</x:v>
      </x:c>
      <x:c r="H10" s="20" t="str"/>
      <x:c r="I10" s="20" t="str">
        <x:v>Objetivos compartilhados</x:v>
      </x:c>
      <x:c r="J10" s="20" t="str">
        <x:v>Prioridades aprovadas</x:v>
      </x:c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n">
        <x:f>IF(OR($B10="",$D10="",$E10="",M$8=""),"",IF(AND($E10&gt;=$D10,$D10&lt;=EDATE(M$8,3)-1,$E10&gt;=M$8),1,""))</x:f>
        <x:v>1</x:v>
      </x:c>
      <x:c r="N10" s="25" t="str">
        <x:f>IF(OR($B10="",$D10="",$E10="",N$8=""),"",IF(AND($E10&gt;=$D10,$D10&lt;=EDATE(N$8,3)-1,$E10&gt;=N$8),1,""))</x:f>
      </x:c>
      <x:c r="O10" s="25" t="str">
        <x:f>IF(OR($B10="",$D10="",$E10="",O$8=""),"",IF(AND($E10&gt;=$D10,$D10&lt;=EDATE(O$8,3)-1,$E10&gt;=O$8),1,""))</x:f>
      </x:c>
      <x:c r="P10" s="25" t="str">
        <x:f>IF(OR($B10="",$D10="",$E10="",P$8=""),"",IF(AND($E10&gt;=$D10,$D10&lt;=EDATE(P$8,3)-1,$E10&gt;=P$8),1,""))</x:f>
      </x:c>
    </x:row>
    <x:row r="11" ht="43" customHeight="1">
      <x:c r="A11" s="2"/>
      <x:c r="B11" s="20" t="str">
        <x:v>S02 - Estruturar o portfólio</x:v>
      </x:c>
      <x:c r="C11" s="20" t="str">
        <x:v>PMO</x:v>
      </x:c>
      <x:c r="D11" s="23" t="d">
        <x:v>2027-02-01T00:00:00.000Z</x:v>
      </x:c>
      <x:c r="E11" s="23" t="d">
        <x:v>2027-05-31T00:00:00.000Z</x:v>
      </x:c>
      <x:c r="F11" s="22" t="str">
        <x:v>Em andamento</x:v>
      </x:c>
      <x:c r="G11" s="22" t="str">
        <x:v>Alta</x:v>
      </x:c>
      <x:c r="H11" s="20" t="str">
        <x:v>S01</x:v>
      </x:c>
      <x:c r="I11" s="20" t="str">
        <x:v>Iniciativas organizadas</x:v>
      </x:c>
      <x:c r="J11" s="20" t="str">
        <x:v>Responsáveis e marcos definidos</x:v>
      </x:c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n">
        <x:f>IF(OR($B11="",$D11="",$E11="",M$8=""),"",IF(AND($E11&gt;=$D11,$D11&lt;=EDATE(M$8,3)-1,$E11&gt;=M$8),1,""))</x:f>
        <x:v>1</x:v>
      </x:c>
      <x:c r="N11" s="25" t="n">
        <x:f>IF(OR($B11="",$D11="",$E11="",N$8=""),"",IF(AND($E11&gt;=$D11,$D11&lt;=EDATE(N$8,3)-1,$E11&gt;=N$8),1,""))</x:f>
        <x:v>1</x:v>
      </x:c>
      <x:c r="O11" s="25" t="str">
        <x:f>IF(OR($B11="",$D11="",$E11="",O$8=""),"",IF(AND($E11&gt;=$D11,$D11&lt;=EDATE(O$8,3)-1,$E11&gt;=O$8),1,""))</x:f>
      </x:c>
      <x:c r="P11" s="25" t="str">
        <x:f>IF(OR($B11="",$D11="",$E11="",P$8=""),"",IF(AND($E11&gt;=$D11,$D11&lt;=EDATE(P$8,3)-1,$E11&gt;=P$8),1,""))</x:f>
      </x:c>
    </x:row>
    <x:row r="12" ht="43" customHeight="1">
      <x:c r="A12" s="2"/>
      <x:c r="B12" s="20" t="str">
        <x:v>S03 - Melhorar a jornada CRM</x:v>
      </x:c>
      <x:c r="C12" s="20" t="str">
        <x:v>Negócio</x:v>
      </x:c>
      <x:c r="D12" s="23" t="d">
        <x:v>2027-04-01T00:00:00.000Z</x:v>
      </x:c>
      <x:c r="E12" s="23" t="d">
        <x:v>2027-09-30T00:00:00.000Z</x:v>
      </x:c>
      <x:c r="F12" s="22" t="str">
        <x:v>A fazer</x:v>
      </x:c>
      <x:c r="G12" s="22" t="str">
        <x:v>Alta</x:v>
      </x:c>
      <x:c r="H12" s="20" t="str">
        <x:v>S02</x:v>
      </x:c>
      <x:c r="I12" s="20" t="str">
        <x:v>Jornada redesenhada</x:v>
      </x:c>
      <x:c r="J12" s="20" t="str">
        <x:v>Proposta de jornada validada</x:v>
      </x:c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IF(OR($B12="",$D12="",$E12="",M$8=""),"",IF(AND($E12&gt;=$D12,$D12&lt;=EDATE(M$8,3)-1,$E12&gt;=M$8),1,""))</x:f>
      </x:c>
      <x:c r="N12" s="25" t="n">
        <x:f>IF(OR($B12="",$D12="",$E12="",N$8=""),"",IF(AND($E12&gt;=$D12,$D12&lt;=EDATE(N$8,3)-1,$E12&gt;=N$8),1,""))</x:f>
        <x:v>1</x:v>
      </x:c>
      <x:c r="O12" s="25" t="n">
        <x:f>IF(OR($B12="",$D12="",$E12="",O$8=""),"",IF(AND($E12&gt;=$D12,$D12&lt;=EDATE(O$8,3)-1,$E12&gt;=O$8),1,""))</x:f>
        <x:v>1</x:v>
      </x:c>
      <x:c r="P12" s="25" t="str">
        <x:f>IF(OR($B12="",$D12="",$E12="",P$8=""),"",IF(AND($E12&gt;=$D12,$D12&lt;=EDATE(P$8,3)-1,$E12&gt;=P$8),1,""))</x:f>
      </x:c>
    </x:row>
    <x:row r="13" ht="43" customHeight="1">
      <x:c r="A13" s="2"/>
      <x:c r="B13" s="20" t="str">
        <x:v>S04 - Organizar indicadores</x:v>
      </x:c>
      <x:c r="C13" s="20" t="str">
        <x:v>Dados</x:v>
      </x:c>
      <x:c r="D13" s="23" t="d">
        <x:v>2027-07-01T00:00:00.000Z</x:v>
      </x:c>
      <x:c r="E13" s="23" t="d">
        <x:v>2027-12-31T00:00:00.000Z</x:v>
      </x:c>
      <x:c r="F13" s="22" t="str">
        <x:v>A fazer</x:v>
      </x:c>
      <x:c r="G13" s="22" t="str">
        <x:v>Média</x:v>
      </x:c>
      <x:c r="H13" s="20" t="str">
        <x:v>S02</x:v>
      </x:c>
      <x:c r="I13" s="20" t="str">
        <x:v>Leitura gerencial consistente</x:v>
      </x:c>
      <x:c r="J13" s="20" t="str">
        <x:v>Definições e fontes registradas</x:v>
      </x:c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IF(OR($B13="",$D13="",$E13="",M$8=""),"",IF(AND($E13&gt;=$D13,$D13&lt;=EDATE(M$8,3)-1,$E13&gt;=M$8),1,""))</x:f>
      </x:c>
      <x:c r="N13" s="25" t="str">
        <x:f>IF(OR($B13="",$D13="",$E13="",N$8=""),"",IF(AND($E13&gt;=$D13,$D13&lt;=EDATE(N$8,3)-1,$E13&gt;=N$8),1,""))</x:f>
      </x:c>
      <x:c r="O13" s="25" t="n">
        <x:f>IF(OR($B13="",$D13="",$E13="",O$8=""),"",IF(AND($E13&gt;=$D13,$D13&lt;=EDATE(O$8,3)-1,$E13&gt;=O$8),1,""))</x:f>
        <x:v>1</x:v>
      </x:c>
      <x:c r="P13" s="25" t="n">
        <x:f>IF(OR($B13="",$D13="",$E13="",P$8=""),"",IF(AND($E13&gt;=$D13,$D13&lt;=EDATE(P$8,3)-1,$E13&gt;=P$8),1,""))</x:f>
        <x:v>1</x:v>
      </x:c>
    </x:row>
    <x:row r="14" ht="43" customHeight="1">
      <x:c r="A14" s="2"/>
      <x:c r="B14" s="20" t="str">
        <x:v>S05 - Revisar a estratégia</x:v>
      </x:c>
      <x:c r="C14" s="20" t="str">
        <x:v>Gestão</x:v>
      </x:c>
      <x:c r="D14" s="23" t="d">
        <x:v>2027-10-01T00:00:00.000Z</x:v>
      </x:c>
      <x:c r="E14" s="23" t="d">
        <x:v>2027-12-31T00:00:00.000Z</x:v>
      </x:c>
      <x:c r="F14" s="22" t="str">
        <x:v>A fazer</x:v>
      </x:c>
      <x:c r="G14" s="22" t="str">
        <x:v>Média</x:v>
      </x:c>
      <x:c r="H14" s="20" t="str">
        <x:v>S03, S04</x:v>
      </x:c>
      <x:c r="I14" s="20" t="str">
        <x:v>Decisões para o próximo ciclo</x:v>
      </x:c>
      <x:c r="J14" s="20" t="str">
        <x:v>Revisão do ciclo documentada</x:v>
      </x:c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IF(OR($B14="",$D14="",$E14="",M$8=""),"",IF(AND($E14&gt;=$D14,$D14&lt;=EDATE(M$8,3)-1,$E14&gt;=M$8),1,""))</x:f>
      </x:c>
      <x:c r="N14" s="25" t="str">
        <x:f>IF(OR($B14="",$D14="",$E14="",N$8=""),"",IF(AND($E14&gt;=$D14,$D14&lt;=EDATE(N$8,3)-1,$E14&gt;=N$8),1,""))</x:f>
      </x:c>
      <x:c r="O14" s="25" t="str">
        <x:f>IF(OR($B14="",$D14="",$E14="",O$8=""),"",IF(AND($E14&gt;=$D14,$D14&lt;=EDATE(O$8,3)-1,$E14&gt;=O$8),1,""))</x:f>
      </x:c>
      <x:c r="P14" s="25" t="n">
        <x:f>IF(OR($B14="",$D14="",$E14="",P$8=""),"",IF(AND($E14&gt;=$D14,$D14&lt;=EDATE(P$8,3)-1,$E14&gt;=P$8),1,""))</x:f>
        <x:v>1</x:v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IF(OR($B15="",$D15="",$E15="",M$8=""),"",IF(AND($E15&gt;=$D15,$D15&lt;=EDATE(M$8,3)-1,$E15&gt;=M$8),1,""))</x:f>
      </x:c>
      <x:c r="N15" s="25" t="str">
        <x:f>IF(OR($B15="",$D15="",$E15="",N$8=""),"",IF(AND($E15&gt;=$D15,$D15&lt;=EDATE(N$8,3)-1,$E15&gt;=N$8),1,""))</x:f>
      </x:c>
      <x:c r="O15" s="25" t="str">
        <x:f>IF(OR($B15="",$D15="",$E15="",O$8=""),"",IF(AND($E15&gt;=$D15,$D15&lt;=EDATE(O$8,3)-1,$E15&gt;=O$8),1,""))</x:f>
      </x:c>
      <x:c r="P15" s="25" t="str">
        <x:f>IF(OR($B15="",$D15="",$E15="",P$8=""),"",IF(AND($E15&gt;=$D15,$D15&lt;=EDATE(P$8,3)-1,$E15&gt;=P$8),1,""))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IF(OR($B16="",$D16="",$E16="",M$8=""),"",IF(AND($E16&gt;=$D16,$D16&lt;=EDATE(M$8,3)-1,$E16&gt;=M$8),1,""))</x:f>
      </x:c>
      <x:c r="N16" s="25" t="str">
        <x:f>IF(OR($B16="",$D16="",$E16="",N$8=""),"",IF(AND($E16&gt;=$D16,$D16&lt;=EDATE(N$8,3)-1,$E16&gt;=N$8),1,""))</x:f>
      </x:c>
      <x:c r="O16" s="25" t="str">
        <x:f>IF(OR($B16="",$D16="",$E16="",O$8=""),"",IF(AND($E16&gt;=$D16,$D16&lt;=EDATE(O$8,3)-1,$E16&gt;=O$8),1,""))</x:f>
      </x:c>
      <x:c r="P16" s="25" t="str">
        <x:f>IF(OR($B16="",$D16="",$E16="",P$8=""),"",IF(AND($E16&gt;=$D16,$D16&lt;=EDATE(P$8,3)-1,$E16&gt;=P$8),1,""))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IF(OR($B17="",$D17="",$E17="",M$8=""),"",IF(AND($E17&gt;=$D17,$D17&lt;=EDATE(M$8,3)-1,$E17&gt;=M$8),1,""))</x:f>
      </x:c>
      <x:c r="N17" s="25" t="str">
        <x:f>IF(OR($B17="",$D17="",$E17="",N$8=""),"",IF(AND($E17&gt;=$D17,$D17&lt;=EDATE(N$8,3)-1,$E17&gt;=N$8),1,""))</x:f>
      </x:c>
      <x:c r="O17" s="25" t="str">
        <x:f>IF(OR($B17="",$D17="",$E17="",O$8=""),"",IF(AND($E17&gt;=$D17,$D17&lt;=EDATE(O$8,3)-1,$E17&gt;=O$8),1,""))</x:f>
      </x:c>
      <x:c r="P17" s="25" t="str">
        <x:f>IF(OR($B17="",$D17="",$E17="",P$8=""),"",IF(AND($E17&gt;=$D17,$D17&lt;=EDATE(P$8,3)-1,$E17&gt;=P$8),1,""))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IF(OR($B18="",$D18="",$E18="",M$8=""),"",IF(AND($E18&gt;=$D18,$D18&lt;=EDATE(M$8,3)-1,$E18&gt;=M$8),1,""))</x:f>
      </x:c>
      <x:c r="N18" s="25" t="str">
        <x:f>IF(OR($B18="",$D18="",$E18="",N$8=""),"",IF(AND($E18&gt;=$D18,$D18&lt;=EDATE(N$8,3)-1,$E18&gt;=N$8),1,""))</x:f>
      </x:c>
      <x:c r="O18" s="25" t="str">
        <x:f>IF(OR($B18="",$D18="",$E18="",O$8=""),"",IF(AND($E18&gt;=$D18,$D18&lt;=EDATE(O$8,3)-1,$E18&gt;=O$8),1,""))</x:f>
      </x:c>
      <x:c r="P18" s="25" t="str">
        <x:f>IF(OR($B18="",$D18="",$E18="",P$8=""),"",IF(AND($E18&gt;=$D18,$D18&lt;=EDATE(P$8,3)-1,$E18&gt;=P$8),1,""))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IF(OR($B19="",$D19="",$E19="",M$8=""),"",IF(AND($E19&gt;=$D19,$D19&lt;=EDATE(M$8,3)-1,$E19&gt;=M$8),1,""))</x:f>
      </x:c>
      <x:c r="N19" s="25" t="str">
        <x:f>IF(OR($B19="",$D19="",$E19="",N$8=""),"",IF(AND($E19&gt;=$D19,$D19&lt;=EDATE(N$8,3)-1,$E19&gt;=N$8),1,""))</x:f>
      </x:c>
      <x:c r="O19" s="25" t="str">
        <x:f>IF(OR($B19="",$D19="",$E19="",O$8=""),"",IF(AND($E19&gt;=$D19,$D19&lt;=EDATE(O$8,3)-1,$E19&gt;=O$8),1,""))</x:f>
      </x:c>
      <x:c r="P19" s="25" t="str">
        <x:f>IF(OR($B19="",$D19="",$E19="",P$8=""),"",IF(AND($E19&gt;=$D19,$D19&lt;=EDATE(P$8,3)-1,$E19&gt;=P$8),1,""))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IF(OR($B20="",$D20="",$E20="",M$8=""),"",IF(AND($E20&gt;=$D20,$D20&lt;=EDATE(M$8,3)-1,$E20&gt;=M$8),1,""))</x:f>
      </x:c>
      <x:c r="N20" s="25" t="str">
        <x:f>IF(OR($B20="",$D20="",$E20="",N$8=""),"",IF(AND($E20&gt;=$D20,$D20&lt;=EDATE(N$8,3)-1,$E20&gt;=N$8),1,""))</x:f>
      </x:c>
      <x:c r="O20" s="25" t="str">
        <x:f>IF(OR($B20="",$D20="",$E20="",O$8=""),"",IF(AND($E20&gt;=$D20,$D20&lt;=EDATE(O$8,3)-1,$E20&gt;=O$8),1,""))</x:f>
      </x:c>
      <x:c r="P20" s="25" t="str">
        <x:f>IF(OR($B20="",$D20="",$E20="",P$8=""),"",IF(AND($E20&gt;=$D20,$D20&lt;=EDATE(P$8,3)-1,$E20&gt;=P$8),1,""))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IF(OR($B21="",$D21="",$E21="",M$8=""),"",IF(AND($E21&gt;=$D21,$D21&lt;=EDATE(M$8,3)-1,$E21&gt;=M$8),1,""))</x:f>
      </x:c>
      <x:c r="N21" s="25" t="str">
        <x:f>IF(OR($B21="",$D21="",$E21="",N$8=""),"",IF(AND($E21&gt;=$D21,$D21&lt;=EDATE(N$8,3)-1,$E21&gt;=N$8),1,""))</x:f>
      </x:c>
      <x:c r="O21" s="25" t="str">
        <x:f>IF(OR($B21="",$D21="",$E21="",O$8=""),"",IF(AND($E21&gt;=$D21,$D21&lt;=EDATE(O$8,3)-1,$E21&gt;=O$8),1,""))</x:f>
      </x:c>
      <x:c r="P21" s="25" t="str">
        <x:f>IF(OR($B21="",$D21="",$E21="",P$8=""),"",IF(AND($E21&gt;=$D21,$D21&lt;=EDATE(P$8,3)-1,$E21&gt;=P$8),1,""))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</x:sheetData>
  <x:conditionalFormatting sqref="F10:F21">
    <x:cfRule type="expression" dxfId="90" priority="1">
      <x:formula>$F10="A fazer"</x:formula>
    </x:cfRule>
    <x:cfRule type="expression" dxfId="92" priority="3">
      <x:formula>$F10="Em andamento"</x:formula>
    </x:cfRule>
    <x:cfRule type="expression" dxfId="94" priority="5">
      <x:formula>$F10="Em validação"</x:formula>
    </x:cfRule>
    <x:cfRule type="expression" dxfId="96" priority="7">
      <x:formula>$F10="Concluído"</x:formula>
    </x:cfRule>
    <x:cfRule type="expression" dxfId="98" priority="9">
      <x:formula>$F10="Bloqueado"</x:formula>
    </x:cfRule>
    <x:cfRule type="expression" dxfId="100" priority="11">
      <x:formula>$F10="Pausado"</x:formula>
    </x:cfRule>
  </x:conditionalFormatting>
  <x:conditionalFormatting sqref="M10:P21">
    <x:cfRule type="expression" dxfId="91" priority="2">
      <x:formula>AND(M10=1,$F10="A fazer")</x:formula>
    </x:cfRule>
    <x:cfRule type="expression" dxfId="93" priority="4">
      <x:formula>AND(M10=1,$F10="Em andamento")</x:formula>
    </x:cfRule>
    <x:cfRule type="expression" dxfId="95" priority="6">
      <x:formula>AND(M10=1,$F10="Em validação")</x:formula>
    </x:cfRule>
    <x:cfRule type="expression" dxfId="97" priority="8">
      <x:formula>AND(M10=1,$F10="Concluído")</x:formula>
    </x:cfRule>
    <x:cfRule type="expression" dxfId="99" priority="10">
      <x:formula>AND(M10=1,$F10="Bloqueado")</x:formula>
    </x:cfRule>
    <x:cfRule type="expression" dxfId="101" priority="12">
      <x:formula>AND(M10=1,$F10="Pausado")</x:formula>
    </x:cfRule>
    <x:cfRule type="expression" dxfId="102" priority="13">
      <x:formula>AND(M10=1,$F10="")</x:formula>
    </x:cfRule>
  </x:conditionalFormatting>
  <x:conditionalFormatting sqref="K10:K21">
    <x:cfRule type="containsText" dxfId="103" priority="14" operator="containsText" text="Rever datas"/>
    <x:cfRule type="containsText" dxfId="104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AEBBC0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1" customHeight="1">
      <x:c r="A2" s="2"/>
      <x:c r="B2" s="3" t="str">
        <x:v>Portfólio PMO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1" customHeight="1">
      <x:c r="A3" s="2"/>
      <x:c r="B3" s="30" t="str">
        <x:v>Exemplo fictício</x:v>
      </x:c>
      <x:c r="C3" s="2"/>
      <x:c r="D3" s="2"/>
      <x:c r="E3" s="2"/>
      <x:c r="F3" s="2"/>
      <x:c r="G3" s="2"/>
      <x:c r="H3" s="2"/>
      <x:c r="I3" s="16" t="str">
        <x:v>Seis meses com visão de entregas</x:v>
      </x:c>
      <x:c r="J3" s="2"/>
      <x:c r="K3" s="2"/>
      <x:c r="L3" s="2"/>
      <x:c r="M3" s="2"/>
      <x:c r="N3" s="2"/>
      <x:c r="O3" s="2"/>
      <x:c r="P3" s="2"/>
      <x:c r="Q3" s="2"/>
      <x:c r="R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1" customHeight="1">
      <x:c r="A5" s="2"/>
      <x:c r="B5" s="2" t="str">
        <x:v>Data-base</x:v>
      </x:c>
      <x:c r="C5" s="19" t="d">
        <x:v>2027-02-01T00:00:00.000Z</x:v>
      </x:c>
      <x:c r="D5" s="2"/>
      <x:c r="E5" s="2"/>
      <x:c r="F5" s="2" t="str">
        <x:v>Data de revisão</x:v>
      </x:c>
      <x:c r="G5" s="19" t="d">
        <x:v>2027-03-01T00:00:00.000Z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Dados e datas fictícios</x:v>
      </x:c>
      <x:c r="K7" s="16"/>
      <x:c r="L7" s="2"/>
      <x:c r="M7" s="2"/>
      <x:c r="N7" s="2"/>
      <x:c r="O7" s="2"/>
      <x:c r="P7" s="2"/>
      <x:c r="Q7" s="2"/>
      <x:c r="R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n">
        <x:f>IF($C$5="","",EDATE($C$5,0))</x:f>
        <x:v>46419</x:v>
      </x:c>
      <x:c r="N8" s="28" t="n">
        <x:f>IF($C$5="","",EDATE($C$5,1))</x:f>
        <x:v>46447</x:v>
      </x:c>
      <x:c r="O8" s="28" t="n">
        <x:f>IF($C$5="","",EDATE($C$5,2))</x:f>
        <x:v>46478</x:v>
      </x:c>
      <x:c r="P8" s="28" t="n">
        <x:f>IF($C$5="","",EDATE($C$5,3))</x:f>
        <x:v>46508</x:v>
      </x:c>
      <x:c r="Q8" s="28" t="n">
        <x:f>IF($C$5="","",EDATE($C$5,4))</x:f>
        <x:v>46539</x:v>
      </x:c>
      <x:c r="R8" s="28" t="n">
        <x:f>IF($C$5="","",EDATE($C$5,5))</x:f>
        <x:v>46569</x:v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M1</x:v>
      </x:c>
      <x:c r="N9" s="8" t="str">
        <x:v>M2</x:v>
      </x:c>
      <x:c r="O9" s="8" t="str">
        <x:v>M3</x:v>
      </x:c>
      <x:c r="P9" s="8" t="str">
        <x:v>M4</x:v>
      </x:c>
      <x:c r="Q9" s="8" t="str">
        <x:v>M5</x:v>
      </x:c>
      <x:c r="R9" s="8" t="str">
        <x:v>M6</x:v>
      </x:c>
    </x:row>
    <x:row r="10" ht="43" customHeight="1">
      <x:c r="A10" s="2"/>
      <x:c r="B10" s="20" t="str">
        <x:v>P01 - Priorizar iniciativas</x:v>
      </x:c>
      <x:c r="C10" s="20" t="str">
        <x:v>PMO e gestão</x:v>
      </x:c>
      <x:c r="D10" s="23" t="d">
        <x:v>2027-02-01T00:00:00.000Z</x:v>
      </x:c>
      <x:c r="E10" s="23" t="d">
        <x:v>2027-02-15T00:00:00.000Z</x:v>
      </x:c>
      <x:c r="F10" s="22" t="str">
        <x:v>Concluído</x:v>
      </x:c>
      <x:c r="G10" s="22" t="str">
        <x:v>Alta</x:v>
      </x:c>
      <x:c r="H10" s="20" t="str"/>
      <x:c r="I10" s="20" t="str">
        <x:v>Portfólio priorizado</x:v>
      </x:c>
      <x:c r="J10" s="20" t="str">
        <x:v>Critérios e prioridades aprovados</x:v>
      </x:c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n">
        <x:f>IF(OR($B10="",$D10="",$E10="",M$8=""),"",IF(AND($E10&gt;=$D10,$D10&lt;=EDATE(M$8,1)-1,$E10&gt;=M$8),1,""))</x:f>
        <x:v>1</x:v>
      </x:c>
      <x:c r="N10" s="25" t="str">
        <x:f>IF(OR($B10="",$D10="",$E10="",N$8=""),"",IF(AND($E10&gt;=$D10,$D10&lt;=EDATE(N$8,1)-1,$E10&gt;=N$8),1,""))</x:f>
      </x:c>
      <x:c r="O10" s="25" t="str">
        <x:f>IF(OR($B10="",$D10="",$E10="",O$8=""),"",IF(AND($E10&gt;=$D10,$D10&lt;=EDATE(O$8,1)-1,$E10&gt;=O$8),1,""))</x:f>
      </x:c>
      <x:c r="P10" s="25" t="str">
        <x:f>IF(OR($B10="",$D10="",$E10="",P$8=""),"",IF(AND($E10&gt;=$D10,$D10&lt;=EDATE(P$8,1)-1,$E10&gt;=P$8),1,""))</x:f>
      </x:c>
      <x:c r="Q10" s="25" t="str">
        <x:f>IF(OR($B10="",$D10="",$E10="",Q$8=""),"",IF(AND($E10&gt;=$D10,$D10&lt;=EDATE(Q$8,1)-1,$E10&gt;=Q$8),1,""))</x:f>
      </x:c>
      <x:c r="R10" s="25" t="str">
        <x:f>IF(OR($B10="",$D10="",$E10="",R$8=""),"",IF(AND($E10&gt;=$D10,$D10&lt;=EDATE(R$8,1)-1,$E10&gt;=R$8),1,""))</x:f>
      </x:c>
    </x:row>
    <x:row r="11" ht="43" customHeight="1">
      <x:c r="A11" s="2"/>
      <x:c r="B11" s="20" t="str">
        <x:v>P02 - Estruturar a governança</x:v>
      </x:c>
      <x:c r="C11" s="20" t="str">
        <x:v>PMO</x:v>
      </x:c>
      <x:c r="D11" s="23" t="d">
        <x:v>2027-02-10T00:00:00.000Z</x:v>
      </x:c>
      <x:c r="E11" s="23" t="d">
        <x:v>2027-03-15T00:00:00.000Z</x:v>
      </x:c>
      <x:c r="F11" s="22" t="str">
        <x:v>Em andamento</x:v>
      </x:c>
      <x:c r="G11" s="22" t="str">
        <x:v>Alta</x:v>
      </x:c>
      <x:c r="H11" s="20" t="str">
        <x:v>P01</x:v>
      </x:c>
      <x:c r="I11" s="20" t="str">
        <x:v>Rotina de acompanhamento</x:v>
      </x:c>
      <x:c r="J11" s="20" t="str">
        <x:v>Papéis e ritos definidos</x:v>
      </x:c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n">
        <x:f>IF(OR($B11="",$D11="",$E11="",M$8=""),"",IF(AND($E11&gt;=$D11,$D11&lt;=EDATE(M$8,1)-1,$E11&gt;=M$8),1,""))</x:f>
        <x:v>1</x:v>
      </x:c>
      <x:c r="N11" s="25" t="n">
        <x:f>IF(OR($B11="",$D11="",$E11="",N$8=""),"",IF(AND($E11&gt;=$D11,$D11&lt;=EDATE(N$8,1)-1,$E11&gt;=N$8),1,""))</x:f>
        <x:v>1</x:v>
      </x:c>
      <x:c r="O11" s="25" t="str">
        <x:f>IF(OR($B11="",$D11="",$E11="",O$8=""),"",IF(AND($E11&gt;=$D11,$D11&lt;=EDATE(O$8,1)-1,$E11&gt;=O$8),1,""))</x:f>
      </x:c>
      <x:c r="P11" s="25" t="str">
        <x:f>IF(OR($B11="",$D11="",$E11="",P$8=""),"",IF(AND($E11&gt;=$D11,$D11&lt;=EDATE(P$8,1)-1,$E11&gt;=P$8),1,""))</x:f>
      </x:c>
      <x:c r="Q11" s="25" t="str">
        <x:f>IF(OR($B11="",$D11="",$E11="",Q$8=""),"",IF(AND($E11&gt;=$D11,$D11&lt;=EDATE(Q$8,1)-1,$E11&gt;=Q$8),1,""))</x:f>
      </x:c>
      <x:c r="R11" s="25" t="str">
        <x:f>IF(OR($B11="",$D11="",$E11="",R$8=""),"",IF(AND($E11&gt;=$D11,$D11&lt;=EDATE(R$8,1)-1,$E11&gt;=R$8),1,""))</x:f>
      </x:c>
    </x:row>
    <x:row r="12" ht="43" customHeight="1">
      <x:c r="A12" s="2"/>
      <x:c r="B12" s="20" t="str">
        <x:v>P03 - Consolidar riscos e planos</x:v>
      </x:c>
      <x:c r="C12" s="20" t="str">
        <x:v>Lideranças</x:v>
      </x:c>
      <x:c r="D12" s="23" t="d">
        <x:v>2027-03-01T00:00:00.000Z</x:v>
      </x:c>
      <x:c r="E12" s="23" t="d">
        <x:v>2027-04-15T00:00:00.000Z</x:v>
      </x:c>
      <x:c r="F12" s="22" t="str">
        <x:v>A fazer</x:v>
      </x:c>
      <x:c r="G12" s="22" t="str">
        <x:v>Alta</x:v>
      </x:c>
      <x:c r="H12" s="20" t="str">
        <x:v>P02</x:v>
      </x:c>
      <x:c r="I12" s="20" t="str">
        <x:v>Pendências rastreáveis</x:v>
      </x:c>
      <x:c r="J12" s="20" t="str">
        <x:v>Riscos com ações e responsáveis</x:v>
      </x:c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IF(OR($B12="",$D12="",$E12="",M$8=""),"",IF(AND($E12&gt;=$D12,$D12&lt;=EDATE(M$8,1)-1,$E12&gt;=M$8),1,""))</x:f>
      </x:c>
      <x:c r="N12" s="25" t="n">
        <x:f>IF(OR($B12="",$D12="",$E12="",N$8=""),"",IF(AND($E12&gt;=$D12,$D12&lt;=EDATE(N$8,1)-1,$E12&gt;=N$8),1,""))</x:f>
        <x:v>1</x:v>
      </x:c>
      <x:c r="O12" s="25" t="n">
        <x:f>IF(OR($B12="",$D12="",$E12="",O$8=""),"",IF(AND($E12&gt;=$D12,$D12&lt;=EDATE(O$8,1)-1,$E12&gt;=O$8),1,""))</x:f>
        <x:v>1</x:v>
      </x:c>
      <x:c r="P12" s="25" t="str">
        <x:f>IF(OR($B12="",$D12="",$E12="",P$8=""),"",IF(AND($E12&gt;=$D12,$D12&lt;=EDATE(P$8,1)-1,$E12&gt;=P$8),1,""))</x:f>
      </x:c>
      <x:c r="Q12" s="25" t="str">
        <x:f>IF(OR($B12="",$D12="",$E12="",Q$8=""),"",IF(AND($E12&gt;=$D12,$D12&lt;=EDATE(Q$8,1)-1,$E12&gt;=Q$8),1,""))</x:f>
      </x:c>
      <x:c r="R12" s="25" t="str">
        <x:f>IF(OR($B12="",$D12="",$E12="",R$8=""),"",IF(AND($E12&gt;=$D12,$D12&lt;=EDATE(R$8,1)-1,$E12&gt;=R$8),1,""))</x:f>
      </x:c>
    </x:row>
    <x:row r="13" ht="43" customHeight="1">
      <x:c r="A13" s="2"/>
      <x:c r="B13" s="20" t="str">
        <x:v>P04 - Padronizar relatórios OPR</x:v>
      </x:c>
      <x:c r="C13" s="20" t="str">
        <x:v>PMO e dados</x:v>
      </x:c>
      <x:c r="D13" s="23" t="d">
        <x:v>2027-03-15T00:00:00.000Z</x:v>
      </x:c>
      <x:c r="E13" s="23" t="d">
        <x:v>2027-06-30T00:00:00.000Z</x:v>
      </x:c>
      <x:c r="F13" s="22" t="str">
        <x:v>A fazer</x:v>
      </x:c>
      <x:c r="G13" s="22" t="str">
        <x:v>Média</x:v>
      </x:c>
      <x:c r="H13" s="20" t="str">
        <x:v>P02</x:v>
      </x:c>
      <x:c r="I13" s="20" t="str">
        <x:v>Status com leitura consistente</x:v>
      </x:c>
      <x:c r="J13" s="20" t="str">
        <x:v>Modelo de relatório revisado</x:v>
      </x:c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IF(OR($B13="",$D13="",$E13="",M$8=""),"",IF(AND($E13&gt;=$D13,$D13&lt;=EDATE(M$8,1)-1,$E13&gt;=M$8),1,""))</x:f>
      </x:c>
      <x:c r="N13" s="25" t="n">
        <x:f>IF(OR($B13="",$D13="",$E13="",N$8=""),"",IF(AND($E13&gt;=$D13,$D13&lt;=EDATE(N$8,1)-1,$E13&gt;=N$8),1,""))</x:f>
        <x:v>1</x:v>
      </x:c>
      <x:c r="O13" s="25" t="n">
        <x:f>IF(OR($B13="",$D13="",$E13="",O$8=""),"",IF(AND($E13&gt;=$D13,$D13&lt;=EDATE(O$8,1)-1,$E13&gt;=O$8),1,""))</x:f>
        <x:v>1</x:v>
      </x:c>
      <x:c r="P13" s="25" t="n">
        <x:f>IF(OR($B13="",$D13="",$E13="",P$8=""),"",IF(AND($E13&gt;=$D13,$D13&lt;=EDATE(P$8,1)-1,$E13&gt;=P$8),1,""))</x:f>
        <x:v>1</x:v>
      </x:c>
      <x:c r="Q13" s="25" t="n">
        <x:f>IF(OR($B13="",$D13="",$E13="",Q$8=""),"",IF(AND($E13&gt;=$D13,$D13&lt;=EDATE(Q$8,1)-1,$E13&gt;=Q$8),1,""))</x:f>
        <x:v>1</x:v>
      </x:c>
      <x:c r="R13" s="25" t="str">
        <x:f>IF(OR($B13="",$D13="",$E13="",R$8=""),"",IF(AND($E13&gt;=$D13,$D13&lt;=EDATE(R$8,1)-1,$E13&gt;=R$8),1,""))</x:f>
      </x:c>
    </x:row>
    <x:row r="14" ht="43" customHeight="1">
      <x:c r="A14" s="2"/>
      <x:c r="B14" s="20" t="str">
        <x:v>P05 - Avaliar as entregas</x:v>
      </x:c>
      <x:c r="C14" s="20" t="str">
        <x:v>Gestão</x:v>
      </x:c>
      <x:c r="D14" s="23" t="d">
        <x:v>2027-06-01T00:00:00.000Z</x:v>
      </x:c>
      <x:c r="E14" s="23" t="d">
        <x:v>2027-07-31T00:00:00.000Z</x:v>
      </x:c>
      <x:c r="F14" s="22" t="str">
        <x:v>A fazer</x:v>
      </x:c>
      <x:c r="G14" s="22" t="str">
        <x:v>Média</x:v>
      </x:c>
      <x:c r="H14" s="20" t="str">
        <x:v>P03, P04</x:v>
      </x:c>
      <x:c r="I14" s="20" t="str">
        <x:v>Decisões para o ciclo seguinte</x:v>
      </x:c>
      <x:c r="J14" s="20" t="str">
        <x:v>Lições aprendidas registradas</x:v>
      </x:c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IF(OR($B14="",$D14="",$E14="",M$8=""),"",IF(AND($E14&gt;=$D14,$D14&lt;=EDATE(M$8,1)-1,$E14&gt;=M$8),1,""))</x:f>
      </x:c>
      <x:c r="N14" s="25" t="str">
        <x:f>IF(OR($B14="",$D14="",$E14="",N$8=""),"",IF(AND($E14&gt;=$D14,$D14&lt;=EDATE(N$8,1)-1,$E14&gt;=N$8),1,""))</x:f>
      </x:c>
      <x:c r="O14" s="25" t="str">
        <x:f>IF(OR($B14="",$D14="",$E14="",O$8=""),"",IF(AND($E14&gt;=$D14,$D14&lt;=EDATE(O$8,1)-1,$E14&gt;=O$8),1,""))</x:f>
      </x:c>
      <x:c r="P14" s="25" t="str">
        <x:f>IF(OR($B14="",$D14="",$E14="",P$8=""),"",IF(AND($E14&gt;=$D14,$D14&lt;=EDATE(P$8,1)-1,$E14&gt;=P$8),1,""))</x:f>
      </x:c>
      <x:c r="Q14" s="25" t="n">
        <x:f>IF(OR($B14="",$D14="",$E14="",Q$8=""),"",IF(AND($E14&gt;=$D14,$D14&lt;=EDATE(Q$8,1)-1,$E14&gt;=Q$8),1,""))</x:f>
        <x:v>1</x:v>
      </x:c>
      <x:c r="R14" s="25" t="n">
        <x:f>IF(OR($B14="",$D14="",$E14="",R$8=""),"",IF(AND($E14&gt;=$D14,$D14&lt;=EDATE(R$8,1)-1,$E14&gt;=R$8),1,""))</x:f>
        <x:v>1</x:v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IF(OR($B15="",$D15="",$E15="",M$8=""),"",IF(AND($E15&gt;=$D15,$D15&lt;=EDATE(M$8,1)-1,$E15&gt;=M$8),1,""))</x:f>
      </x:c>
      <x:c r="N15" s="25" t="str">
        <x:f>IF(OR($B15="",$D15="",$E15="",N$8=""),"",IF(AND($E15&gt;=$D15,$D15&lt;=EDATE(N$8,1)-1,$E15&gt;=N$8),1,""))</x:f>
      </x:c>
      <x:c r="O15" s="25" t="str">
        <x:f>IF(OR($B15="",$D15="",$E15="",O$8=""),"",IF(AND($E15&gt;=$D15,$D15&lt;=EDATE(O$8,1)-1,$E15&gt;=O$8),1,""))</x:f>
      </x:c>
      <x:c r="P15" s="25" t="str">
        <x:f>IF(OR($B15="",$D15="",$E15="",P$8=""),"",IF(AND($E15&gt;=$D15,$D15&lt;=EDATE(P$8,1)-1,$E15&gt;=P$8),1,""))</x:f>
      </x:c>
      <x:c r="Q15" s="25" t="str">
        <x:f>IF(OR($B15="",$D15="",$E15="",Q$8=""),"",IF(AND($E15&gt;=$D15,$D15&lt;=EDATE(Q$8,1)-1,$E15&gt;=Q$8),1,""))</x:f>
      </x:c>
      <x:c r="R15" s="25" t="str">
        <x:f>IF(OR($B15="",$D15="",$E15="",R$8=""),"",IF(AND($E15&gt;=$D15,$D15&lt;=EDATE(R$8,1)-1,$E15&gt;=R$8),1,""))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IF(OR($B16="",$D16="",$E16="",M$8=""),"",IF(AND($E16&gt;=$D16,$D16&lt;=EDATE(M$8,1)-1,$E16&gt;=M$8),1,""))</x:f>
      </x:c>
      <x:c r="N16" s="25" t="str">
        <x:f>IF(OR($B16="",$D16="",$E16="",N$8=""),"",IF(AND($E16&gt;=$D16,$D16&lt;=EDATE(N$8,1)-1,$E16&gt;=N$8),1,""))</x:f>
      </x:c>
      <x:c r="O16" s="25" t="str">
        <x:f>IF(OR($B16="",$D16="",$E16="",O$8=""),"",IF(AND($E16&gt;=$D16,$D16&lt;=EDATE(O$8,1)-1,$E16&gt;=O$8),1,""))</x:f>
      </x:c>
      <x:c r="P16" s="25" t="str">
        <x:f>IF(OR($B16="",$D16="",$E16="",P$8=""),"",IF(AND($E16&gt;=$D16,$D16&lt;=EDATE(P$8,1)-1,$E16&gt;=P$8),1,""))</x:f>
      </x:c>
      <x:c r="Q16" s="25" t="str">
        <x:f>IF(OR($B16="",$D16="",$E16="",Q$8=""),"",IF(AND($E16&gt;=$D16,$D16&lt;=EDATE(Q$8,1)-1,$E16&gt;=Q$8),1,""))</x:f>
      </x:c>
      <x:c r="R16" s="25" t="str">
        <x:f>IF(OR($B16="",$D16="",$E16="",R$8=""),"",IF(AND($E16&gt;=$D16,$D16&lt;=EDATE(R$8,1)-1,$E16&gt;=R$8),1,""))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IF(OR($B17="",$D17="",$E17="",M$8=""),"",IF(AND($E17&gt;=$D17,$D17&lt;=EDATE(M$8,1)-1,$E17&gt;=M$8),1,""))</x:f>
      </x:c>
      <x:c r="N17" s="25" t="str">
        <x:f>IF(OR($B17="",$D17="",$E17="",N$8=""),"",IF(AND($E17&gt;=$D17,$D17&lt;=EDATE(N$8,1)-1,$E17&gt;=N$8),1,""))</x:f>
      </x:c>
      <x:c r="O17" s="25" t="str">
        <x:f>IF(OR($B17="",$D17="",$E17="",O$8=""),"",IF(AND($E17&gt;=$D17,$D17&lt;=EDATE(O$8,1)-1,$E17&gt;=O$8),1,""))</x:f>
      </x:c>
      <x:c r="P17" s="25" t="str">
        <x:f>IF(OR($B17="",$D17="",$E17="",P$8=""),"",IF(AND($E17&gt;=$D17,$D17&lt;=EDATE(P$8,1)-1,$E17&gt;=P$8),1,""))</x:f>
      </x:c>
      <x:c r="Q17" s="25" t="str">
        <x:f>IF(OR($B17="",$D17="",$E17="",Q$8=""),"",IF(AND($E17&gt;=$D17,$D17&lt;=EDATE(Q$8,1)-1,$E17&gt;=Q$8),1,""))</x:f>
      </x:c>
      <x:c r="R17" s="25" t="str">
        <x:f>IF(OR($B17="",$D17="",$E17="",R$8=""),"",IF(AND($E17&gt;=$D17,$D17&lt;=EDATE(R$8,1)-1,$E17&gt;=R$8),1,""))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IF(OR($B18="",$D18="",$E18="",M$8=""),"",IF(AND($E18&gt;=$D18,$D18&lt;=EDATE(M$8,1)-1,$E18&gt;=M$8),1,""))</x:f>
      </x:c>
      <x:c r="N18" s="25" t="str">
        <x:f>IF(OR($B18="",$D18="",$E18="",N$8=""),"",IF(AND($E18&gt;=$D18,$D18&lt;=EDATE(N$8,1)-1,$E18&gt;=N$8),1,""))</x:f>
      </x:c>
      <x:c r="O18" s="25" t="str">
        <x:f>IF(OR($B18="",$D18="",$E18="",O$8=""),"",IF(AND($E18&gt;=$D18,$D18&lt;=EDATE(O$8,1)-1,$E18&gt;=O$8),1,""))</x:f>
      </x:c>
      <x:c r="P18" s="25" t="str">
        <x:f>IF(OR($B18="",$D18="",$E18="",P$8=""),"",IF(AND($E18&gt;=$D18,$D18&lt;=EDATE(P$8,1)-1,$E18&gt;=P$8),1,""))</x:f>
      </x:c>
      <x:c r="Q18" s="25" t="str">
        <x:f>IF(OR($B18="",$D18="",$E18="",Q$8=""),"",IF(AND($E18&gt;=$D18,$D18&lt;=EDATE(Q$8,1)-1,$E18&gt;=Q$8),1,""))</x:f>
      </x:c>
      <x:c r="R18" s="25" t="str">
        <x:f>IF(OR($B18="",$D18="",$E18="",R$8=""),"",IF(AND($E18&gt;=$D18,$D18&lt;=EDATE(R$8,1)-1,$E18&gt;=R$8),1,""))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IF(OR($B19="",$D19="",$E19="",M$8=""),"",IF(AND($E19&gt;=$D19,$D19&lt;=EDATE(M$8,1)-1,$E19&gt;=M$8),1,""))</x:f>
      </x:c>
      <x:c r="N19" s="25" t="str">
        <x:f>IF(OR($B19="",$D19="",$E19="",N$8=""),"",IF(AND($E19&gt;=$D19,$D19&lt;=EDATE(N$8,1)-1,$E19&gt;=N$8),1,""))</x:f>
      </x:c>
      <x:c r="O19" s="25" t="str">
        <x:f>IF(OR($B19="",$D19="",$E19="",O$8=""),"",IF(AND($E19&gt;=$D19,$D19&lt;=EDATE(O$8,1)-1,$E19&gt;=O$8),1,""))</x:f>
      </x:c>
      <x:c r="P19" s="25" t="str">
        <x:f>IF(OR($B19="",$D19="",$E19="",P$8=""),"",IF(AND($E19&gt;=$D19,$D19&lt;=EDATE(P$8,1)-1,$E19&gt;=P$8),1,""))</x:f>
      </x:c>
      <x:c r="Q19" s="25" t="str">
        <x:f>IF(OR($B19="",$D19="",$E19="",Q$8=""),"",IF(AND($E19&gt;=$D19,$D19&lt;=EDATE(Q$8,1)-1,$E19&gt;=Q$8),1,""))</x:f>
      </x:c>
      <x:c r="R19" s="25" t="str">
        <x:f>IF(OR($B19="",$D19="",$E19="",R$8=""),"",IF(AND($E19&gt;=$D19,$D19&lt;=EDATE(R$8,1)-1,$E19&gt;=R$8),1,""))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IF(OR($B20="",$D20="",$E20="",M$8=""),"",IF(AND($E20&gt;=$D20,$D20&lt;=EDATE(M$8,1)-1,$E20&gt;=M$8),1,""))</x:f>
      </x:c>
      <x:c r="N20" s="25" t="str">
        <x:f>IF(OR($B20="",$D20="",$E20="",N$8=""),"",IF(AND($E20&gt;=$D20,$D20&lt;=EDATE(N$8,1)-1,$E20&gt;=N$8),1,""))</x:f>
      </x:c>
      <x:c r="O20" s="25" t="str">
        <x:f>IF(OR($B20="",$D20="",$E20="",O$8=""),"",IF(AND($E20&gt;=$D20,$D20&lt;=EDATE(O$8,1)-1,$E20&gt;=O$8),1,""))</x:f>
      </x:c>
      <x:c r="P20" s="25" t="str">
        <x:f>IF(OR($B20="",$D20="",$E20="",P$8=""),"",IF(AND($E20&gt;=$D20,$D20&lt;=EDATE(P$8,1)-1,$E20&gt;=P$8),1,""))</x:f>
      </x:c>
      <x:c r="Q20" s="25" t="str">
        <x:f>IF(OR($B20="",$D20="",$E20="",Q$8=""),"",IF(AND($E20&gt;=$D20,$D20&lt;=EDATE(Q$8,1)-1,$E20&gt;=Q$8),1,""))</x:f>
      </x:c>
      <x:c r="R20" s="25" t="str">
        <x:f>IF(OR($B20="",$D20="",$E20="",R$8=""),"",IF(AND($E20&gt;=$D20,$D20&lt;=EDATE(R$8,1)-1,$E20&gt;=R$8),1,""))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IF(OR($B21="",$D21="",$E21="",M$8=""),"",IF(AND($E21&gt;=$D21,$D21&lt;=EDATE(M$8,1)-1,$E21&gt;=M$8),1,""))</x:f>
      </x:c>
      <x:c r="N21" s="25" t="str">
        <x:f>IF(OR($B21="",$D21="",$E21="",N$8=""),"",IF(AND($E21&gt;=$D21,$D21&lt;=EDATE(N$8,1)-1,$E21&gt;=N$8),1,""))</x:f>
      </x:c>
      <x:c r="O21" s="25" t="str">
        <x:f>IF(OR($B21="",$D21="",$E21="",O$8=""),"",IF(AND($E21&gt;=$D21,$D21&lt;=EDATE(O$8,1)-1,$E21&gt;=O$8),1,""))</x:f>
      </x:c>
      <x:c r="P21" s="25" t="str">
        <x:f>IF(OR($B21="",$D21="",$E21="",P$8=""),"",IF(AND($E21&gt;=$D21,$D21&lt;=EDATE(P$8,1)-1,$E21&gt;=P$8),1,""))</x:f>
      </x:c>
      <x:c r="Q21" s="25" t="str">
        <x:f>IF(OR($B21="",$D21="",$E21="",Q$8=""),"",IF(AND($E21&gt;=$D21,$D21&lt;=EDATE(Q$8,1)-1,$E21&gt;=Q$8),1,""))</x:f>
      </x:c>
      <x:c r="R21" s="25" t="str">
        <x:f>IF(OR($B21="",$D21="",$E21="",R$8=""),"",IF(AND($E21&gt;=$D21,$D21&lt;=EDATE(R$8,1)-1,$E21&gt;=R$8),1,""))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</x:sheetData>
  <x:conditionalFormatting sqref="F10:F21">
    <x:cfRule type="expression" dxfId="105" priority="1">
      <x:formula>$F10="A fazer"</x:formula>
    </x:cfRule>
    <x:cfRule type="expression" dxfId="107" priority="3">
      <x:formula>$F10="Em andamento"</x:formula>
    </x:cfRule>
    <x:cfRule type="expression" dxfId="109" priority="5">
      <x:formula>$F10="Em validação"</x:formula>
    </x:cfRule>
    <x:cfRule type="expression" dxfId="111" priority="7">
      <x:formula>$F10="Concluído"</x:formula>
    </x:cfRule>
    <x:cfRule type="expression" dxfId="113" priority="9">
      <x:formula>$F10="Bloqueado"</x:formula>
    </x:cfRule>
    <x:cfRule type="expression" dxfId="115" priority="11">
      <x:formula>$F10="Pausado"</x:formula>
    </x:cfRule>
  </x:conditionalFormatting>
  <x:conditionalFormatting sqref="M10:R21">
    <x:cfRule type="expression" dxfId="106" priority="2">
      <x:formula>AND(M10=1,$F10="A fazer")</x:formula>
    </x:cfRule>
    <x:cfRule type="expression" dxfId="108" priority="4">
      <x:formula>AND(M10=1,$F10="Em andamento")</x:formula>
    </x:cfRule>
    <x:cfRule type="expression" dxfId="110" priority="6">
      <x:formula>AND(M10=1,$F10="Em validação")</x:formula>
    </x:cfRule>
    <x:cfRule type="expression" dxfId="112" priority="8">
      <x:formula>AND(M10=1,$F10="Concluído")</x:formula>
    </x:cfRule>
    <x:cfRule type="expression" dxfId="114" priority="10">
      <x:formula>AND(M10=1,$F10="Bloqueado")</x:formula>
    </x:cfRule>
    <x:cfRule type="expression" dxfId="116" priority="12">
      <x:formula>AND(M10=1,$F10="Pausado")</x:formula>
    </x:cfRule>
    <x:cfRule type="expression" dxfId="117" priority="13">
      <x:formula>AND(M10=1,$F10="")</x:formula>
    </x:cfRule>
  </x:conditionalFormatting>
  <x:conditionalFormatting sqref="K10:K21">
    <x:cfRule type="containsText" dxfId="118" priority="14" operator="containsText" text="Rever datas"/>
    <x:cfRule type="containsText" dxfId="119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AEBBC0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6.889999866485596" hidden="0" customWidth="1"/>
    <x:col min="14" max="14" width="6.889999866485596" hidden="0" customWidth="1"/>
    <x:col min="15" max="15" width="6.889999866485596" hidden="0" customWidth="1"/>
    <x:col min="16" max="16" width="6.889999866485596" hidden="0" customWidth="1"/>
    <x:col min="17" max="17" width="6.889999866485596" hidden="0" customWidth="1"/>
    <x:col min="18" max="18" width="6.889999866485596" hidden="0" customWidth="1"/>
    <x:col min="19" max="19" width="6.889999866485596" hidden="0" customWidth="1"/>
    <x:col min="20" max="20" width="6.889999866485596" hidden="0" customWidth="1"/>
    <x:col min="21" max="21" width="6.889999866485596" hidden="0" customWidth="1"/>
    <x:col min="22" max="22" width="6.889999866485596" hidden="0" customWidth="1"/>
    <x:col min="23" max="23" width="6.889999866485596" hidden="0" customWidth="1"/>
    <x:col min="24" max="24" width="6.889999866485596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</x:row>
    <x:row r="2" ht="21" customHeight="1">
      <x:c r="A2" s="2"/>
      <x:c r="B2" s="3" t="str">
        <x:v>Implantação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 ht="21" customHeight="1">
      <x:c r="A3" s="2"/>
      <x:c r="B3" s="30" t="str">
        <x:v>Exemplo fictício</x:v>
      </x:c>
      <x:c r="C3" s="2"/>
      <x:c r="D3" s="2"/>
      <x:c r="E3" s="2"/>
      <x:c r="F3" s="2"/>
      <x:c r="G3" s="2"/>
      <x:c r="H3" s="2"/>
      <x:c r="I3" s="16" t="str">
        <x:v>12 semanas de preparação e transição</x:v>
      </x:c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</x:row>
    <x:row r="5" ht="21" customHeight="1">
      <x:c r="A5" s="2"/>
      <x:c r="B5" s="2" t="str">
        <x:v>Data-base</x:v>
      </x:c>
      <x:c r="C5" s="19" t="d">
        <x:v>2027-02-01T00:00:00.000Z</x:v>
      </x:c>
      <x:c r="D5" s="2"/>
      <x:c r="E5" s="2"/>
      <x:c r="F5" s="2" t="str">
        <x:v>Data de revisão</x:v>
      </x:c>
      <x:c r="G5" s="19" t="d">
        <x:v>2027-03-01T00:00:00.000Z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Dados e datas fictícios</x:v>
      </x:c>
      <x:c r="K7" s="16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n">
        <x:f>IF($C$5="","",$C$5+0)</x:f>
        <x:v>46419</x:v>
      </x:c>
      <x:c r="N8" s="28" t="n">
        <x:f>IF($C$5="","",$C$5+7)</x:f>
        <x:v>46426</x:v>
      </x:c>
      <x:c r="O8" s="28" t="n">
        <x:f>IF($C$5="","",$C$5+14)</x:f>
        <x:v>46433</x:v>
      </x:c>
      <x:c r="P8" s="28" t="n">
        <x:f>IF($C$5="","",$C$5+21)</x:f>
        <x:v>46440</x:v>
      </x:c>
      <x:c r="Q8" s="28" t="n">
        <x:f>IF($C$5="","",$C$5+28)</x:f>
        <x:v>46447</x:v>
      </x:c>
      <x:c r="R8" s="28" t="n">
        <x:f>IF($C$5="","",$C$5+35)</x:f>
        <x:v>46454</x:v>
      </x:c>
      <x:c r="S8" s="28" t="n">
        <x:f>IF($C$5="","",$C$5+42)</x:f>
        <x:v>46461</x:v>
      </x:c>
      <x:c r="T8" s="28" t="n">
        <x:f>IF($C$5="","",$C$5+49)</x:f>
        <x:v>46468</x:v>
      </x:c>
      <x:c r="U8" s="28" t="n">
        <x:f>IF($C$5="","",$C$5+56)</x:f>
        <x:v>46475</x:v>
      </x:c>
      <x:c r="V8" s="28" t="n">
        <x:f>IF($C$5="","",$C$5+63)</x:f>
        <x:v>46482</x:v>
      </x:c>
      <x:c r="W8" s="28" t="n">
        <x:f>IF($C$5="","",$C$5+70)</x:f>
        <x:v>46489</x:v>
      </x:c>
      <x:c r="X8" s="28" t="n">
        <x:f>IF($C$5="","",$C$5+77)</x:f>
        <x:v>46496</x:v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S1</x:v>
      </x:c>
      <x:c r="N9" s="8" t="str">
        <x:v>S2</x:v>
      </x:c>
      <x:c r="O9" s="8" t="str">
        <x:v>S3</x:v>
      </x:c>
      <x:c r="P9" s="8" t="str">
        <x:v>S4</x:v>
      </x:c>
      <x:c r="Q9" s="8" t="str">
        <x:v>S5</x:v>
      </x:c>
      <x:c r="R9" s="8" t="str">
        <x:v>S6</x:v>
      </x:c>
      <x:c r="S9" s="8" t="str">
        <x:v>S7</x:v>
      </x:c>
      <x:c r="T9" s="8" t="str">
        <x:v>S8</x:v>
      </x:c>
      <x:c r="U9" s="8" t="str">
        <x:v>S9</x:v>
      </x:c>
      <x:c r="V9" s="8" t="str">
        <x:v>S10</x:v>
      </x:c>
      <x:c r="W9" s="8" t="str">
        <x:v>S11</x:v>
      </x:c>
      <x:c r="X9" s="8" t="str">
        <x:v>S12</x:v>
      </x:c>
    </x:row>
    <x:row r="10" ht="43" customHeight="1">
      <x:c r="A10" s="2"/>
      <x:c r="B10" s="20" t="str">
        <x:v>I01 - Definir escopo e requisitos</x:v>
      </x:c>
      <x:c r="C10" s="20" t="str">
        <x:v>Negócio e TI</x:v>
      </x:c>
      <x:c r="D10" s="23" t="d">
        <x:v>2027-02-01T00:00:00.000Z</x:v>
      </x:c>
      <x:c r="E10" s="23" t="d">
        <x:v>2027-02-12T00:00:00.000Z</x:v>
      </x:c>
      <x:c r="F10" s="22" t="str">
        <x:v>Concluído</x:v>
      </x:c>
      <x:c r="G10" s="22" t="str">
        <x:v>Alta</x:v>
      </x:c>
      <x:c r="H10" s="20" t="str"/>
      <x:c r="I10" s="20" t="str">
        <x:v>Requisitos compartilhados</x:v>
      </x:c>
      <x:c r="J10" s="20" t="str">
        <x:v>Escopo e aceite aprovados</x:v>
      </x:c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n">
        <x:f>IF(OR($B10="",$D10="",$E10="",M$8=""),"",IF(AND($E10&gt;=$D10,$D10&lt;=M$8+6,$E10&gt;=M$8),1,""))</x:f>
        <x:v>1</x:v>
      </x:c>
      <x:c r="N10" s="25" t="n">
        <x:f>IF(OR($B10="",$D10="",$E10="",N$8=""),"",IF(AND($E10&gt;=$D10,$D10&lt;=N$8+6,$E10&gt;=N$8),1,""))</x:f>
        <x:v>1</x:v>
      </x:c>
      <x:c r="O10" s="25" t="str">
        <x:f>IF(OR($B10="",$D10="",$E10="",O$8=""),"",IF(AND($E10&gt;=$D10,$D10&lt;=O$8+6,$E10&gt;=O$8),1,""))</x:f>
      </x:c>
      <x:c r="P10" s="25" t="str">
        <x:f>IF(OR($B10="",$D10="",$E10="",P$8=""),"",IF(AND($E10&gt;=$D10,$D10&lt;=P$8+6,$E10&gt;=P$8),1,""))</x:f>
      </x:c>
      <x:c r="Q10" s="25" t="str">
        <x:f>IF(OR($B10="",$D10="",$E10="",Q$8=""),"",IF(AND($E10&gt;=$D10,$D10&lt;=Q$8+6,$E10&gt;=Q$8),1,""))</x:f>
      </x:c>
      <x:c r="R10" s="25" t="str">
        <x:f>IF(OR($B10="",$D10="",$E10="",R$8=""),"",IF(AND($E10&gt;=$D10,$D10&lt;=R$8+6,$E10&gt;=R$8),1,""))</x:f>
      </x:c>
      <x:c r="S10" s="25" t="str">
        <x:f>IF(OR($B10="",$D10="",$E10="",S$8=""),"",IF(AND($E10&gt;=$D10,$D10&lt;=S$8+6,$E10&gt;=S$8),1,""))</x:f>
      </x:c>
      <x:c r="T10" s="25" t="str">
        <x:f>IF(OR($B10="",$D10="",$E10="",T$8=""),"",IF(AND($E10&gt;=$D10,$D10&lt;=T$8+6,$E10&gt;=T$8),1,""))</x:f>
      </x:c>
      <x:c r="U10" s="25" t="str">
        <x:f>IF(OR($B10="",$D10="",$E10="",U$8=""),"",IF(AND($E10&gt;=$D10,$D10&lt;=U$8+6,$E10&gt;=U$8),1,""))</x:f>
      </x:c>
      <x:c r="V10" s="25" t="str">
        <x:f>IF(OR($B10="",$D10="",$E10="",V$8=""),"",IF(AND($E10&gt;=$D10,$D10&lt;=V$8+6,$E10&gt;=V$8),1,""))</x:f>
      </x:c>
      <x:c r="W10" s="25" t="str">
        <x:f>IF(OR($B10="",$D10="",$E10="",W$8=""),"",IF(AND($E10&gt;=$D10,$D10&lt;=W$8+6,$E10&gt;=W$8),1,""))</x:f>
      </x:c>
      <x:c r="X10" s="25" t="str">
        <x:f>IF(OR($B10="",$D10="",$E10="",X$8=""),"",IF(AND($E10&gt;=$D10,$D10&lt;=X$8+6,$E10&gt;=X$8),1,""))</x:f>
      </x:c>
    </x:row>
    <x:row r="11" ht="43" customHeight="1">
      <x:c r="A11" s="2"/>
      <x:c r="B11" s="20" t="str">
        <x:v>I02 - Preparar a solução</x:v>
      </x:c>
      <x:c r="C11" s="20" t="str">
        <x:v>TI e fornecedor</x:v>
      </x:c>
      <x:c r="D11" s="23" t="d">
        <x:v>2027-02-08T00:00:00.000Z</x:v>
      </x:c>
      <x:c r="E11" s="23" t="d">
        <x:v>2027-03-05T00:00:00.000Z</x:v>
      </x:c>
      <x:c r="F11" s="22" t="str">
        <x:v>Em andamento</x:v>
      </x:c>
      <x:c r="G11" s="22" t="str">
        <x:v>Alta</x:v>
      </x:c>
      <x:c r="H11" s="20" t="str">
        <x:v>I01</x:v>
      </x:c>
      <x:c r="I11" s="20" t="str">
        <x:v>Ambiente de homologação</x:v>
      </x:c>
      <x:c r="J11" s="20" t="str">
        <x:v>Configuração pronta para teste</x:v>
      </x:c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str">
        <x:f>IF(OR($B11="",$D11="",$E11="",M$8=""),"",IF(AND($E11&gt;=$D11,$D11&lt;=M$8+6,$E11&gt;=M$8),1,""))</x:f>
      </x:c>
      <x:c r="N11" s="25" t="n">
        <x:f>IF(OR($B11="",$D11="",$E11="",N$8=""),"",IF(AND($E11&gt;=$D11,$D11&lt;=N$8+6,$E11&gt;=N$8),1,""))</x:f>
        <x:v>1</x:v>
      </x:c>
      <x:c r="O11" s="25" t="n">
        <x:f>IF(OR($B11="",$D11="",$E11="",O$8=""),"",IF(AND($E11&gt;=$D11,$D11&lt;=O$8+6,$E11&gt;=O$8),1,""))</x:f>
        <x:v>1</x:v>
      </x:c>
      <x:c r="P11" s="25" t="n">
        <x:f>IF(OR($B11="",$D11="",$E11="",P$8=""),"",IF(AND($E11&gt;=$D11,$D11&lt;=P$8+6,$E11&gt;=P$8),1,""))</x:f>
        <x:v>1</x:v>
      </x:c>
      <x:c r="Q11" s="25" t="n">
        <x:f>IF(OR($B11="",$D11="",$E11="",Q$8=""),"",IF(AND($E11&gt;=$D11,$D11&lt;=Q$8+6,$E11&gt;=Q$8),1,""))</x:f>
        <x:v>1</x:v>
      </x:c>
      <x:c r="R11" s="25" t="str">
        <x:f>IF(OR($B11="",$D11="",$E11="",R$8=""),"",IF(AND($E11&gt;=$D11,$D11&lt;=R$8+6,$E11&gt;=R$8),1,""))</x:f>
      </x:c>
      <x:c r="S11" s="25" t="str">
        <x:f>IF(OR($B11="",$D11="",$E11="",S$8=""),"",IF(AND($E11&gt;=$D11,$D11&lt;=S$8+6,$E11&gt;=S$8),1,""))</x:f>
      </x:c>
      <x:c r="T11" s="25" t="str">
        <x:f>IF(OR($B11="",$D11="",$E11="",T$8=""),"",IF(AND($E11&gt;=$D11,$D11&lt;=T$8+6,$E11&gt;=T$8),1,""))</x:f>
      </x:c>
      <x:c r="U11" s="25" t="str">
        <x:f>IF(OR($B11="",$D11="",$E11="",U$8=""),"",IF(AND($E11&gt;=$D11,$D11&lt;=U$8+6,$E11&gt;=U$8),1,""))</x:f>
      </x:c>
      <x:c r="V11" s="25" t="str">
        <x:f>IF(OR($B11="",$D11="",$E11="",V$8=""),"",IF(AND($E11&gt;=$D11,$D11&lt;=V$8+6,$E11&gt;=V$8),1,""))</x:f>
      </x:c>
      <x:c r="W11" s="25" t="str">
        <x:f>IF(OR($B11="",$D11="",$E11="",W$8=""),"",IF(AND($E11&gt;=$D11,$D11&lt;=W$8+6,$E11&gt;=W$8),1,""))</x:f>
      </x:c>
      <x:c r="X11" s="25" t="str">
        <x:f>IF(OR($B11="",$D11="",$E11="",X$8=""),"",IF(AND($E11&gt;=$D11,$D11&lt;=X$8+6,$E11&gt;=X$8),1,""))</x:f>
      </x:c>
    </x:row>
    <x:row r="12" ht="43" customHeight="1">
      <x:c r="A12" s="2"/>
      <x:c r="B12" s="20" t="str">
        <x:v>I03 - Realizar homologação UAT</x:v>
      </x:c>
      <x:c r="C12" s="20" t="str">
        <x:v>Usuários-chave</x:v>
      </x:c>
      <x:c r="D12" s="23" t="d">
        <x:v>2027-03-08T00:00:00.000Z</x:v>
      </x:c>
      <x:c r="E12" s="23" t="d">
        <x:v>2027-03-26T00:00:00.000Z</x:v>
      </x:c>
      <x:c r="F12" s="22" t="str">
        <x:v>A fazer</x:v>
      </x:c>
      <x:c r="G12" s="22" t="str">
        <x:v>Alta</x:v>
      </x:c>
      <x:c r="H12" s="20" t="str">
        <x:v>I02</x:v>
      </x:c>
      <x:c r="I12" s="20" t="str">
        <x:v>Requisitos verificados</x:v>
      </x:c>
      <x:c r="J12" s="20" t="str">
        <x:v>Casos críticos com aceite</x:v>
      </x:c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IF(OR($B12="",$D12="",$E12="",M$8=""),"",IF(AND($E12&gt;=$D12,$D12&lt;=M$8+6,$E12&gt;=M$8),1,""))</x:f>
      </x:c>
      <x:c r="N12" s="25" t="str">
        <x:f>IF(OR($B12="",$D12="",$E12="",N$8=""),"",IF(AND($E12&gt;=$D12,$D12&lt;=N$8+6,$E12&gt;=N$8),1,""))</x:f>
      </x:c>
      <x:c r="O12" s="25" t="str">
        <x:f>IF(OR($B12="",$D12="",$E12="",O$8=""),"",IF(AND($E12&gt;=$D12,$D12&lt;=O$8+6,$E12&gt;=O$8),1,""))</x:f>
      </x:c>
      <x:c r="P12" s="25" t="str">
        <x:f>IF(OR($B12="",$D12="",$E12="",P$8=""),"",IF(AND($E12&gt;=$D12,$D12&lt;=P$8+6,$E12&gt;=P$8),1,""))</x:f>
      </x:c>
      <x:c r="Q12" s="25" t="str">
        <x:f>IF(OR($B12="",$D12="",$E12="",Q$8=""),"",IF(AND($E12&gt;=$D12,$D12&lt;=Q$8+6,$E12&gt;=Q$8),1,""))</x:f>
      </x:c>
      <x:c r="R12" s="25" t="n">
        <x:f>IF(OR($B12="",$D12="",$E12="",R$8=""),"",IF(AND($E12&gt;=$D12,$D12&lt;=R$8+6,$E12&gt;=R$8),1,""))</x:f>
        <x:v>1</x:v>
      </x:c>
      <x:c r="S12" s="25" t="n">
        <x:f>IF(OR($B12="",$D12="",$E12="",S$8=""),"",IF(AND($E12&gt;=$D12,$D12&lt;=S$8+6,$E12&gt;=S$8),1,""))</x:f>
        <x:v>1</x:v>
      </x:c>
      <x:c r="T12" s="25" t="n">
        <x:f>IF(OR($B12="",$D12="",$E12="",T$8=""),"",IF(AND($E12&gt;=$D12,$D12&lt;=T$8+6,$E12&gt;=T$8),1,""))</x:f>
        <x:v>1</x:v>
      </x:c>
      <x:c r="U12" s="25" t="str">
        <x:f>IF(OR($B12="",$D12="",$E12="",U$8=""),"",IF(AND($E12&gt;=$D12,$D12&lt;=U$8+6,$E12&gt;=U$8),1,""))</x:f>
      </x:c>
      <x:c r="V12" s="25" t="str">
        <x:f>IF(OR($B12="",$D12="",$E12="",V$8=""),"",IF(AND($E12&gt;=$D12,$D12&lt;=V$8+6,$E12&gt;=V$8),1,""))</x:f>
      </x:c>
      <x:c r="W12" s="25" t="str">
        <x:f>IF(OR($B12="",$D12="",$E12="",W$8=""),"",IF(AND($E12&gt;=$D12,$D12&lt;=W$8+6,$E12&gt;=W$8),1,""))</x:f>
      </x:c>
      <x:c r="X12" s="25" t="str">
        <x:f>IF(OR($B12="",$D12="",$E12="",X$8=""),"",IF(AND($E12&gt;=$D12,$D12&lt;=X$8+6,$E12&gt;=X$8),1,""))</x:f>
      </x:c>
    </x:row>
    <x:row r="13" ht="43" customHeight="1">
      <x:c r="A13" s="2"/>
      <x:c r="B13" s="20" t="str">
        <x:v>I04 - Preparar a transição</x:v>
      </x:c>
      <x:c r="C13" s="20" t="str">
        <x:v>Operação</x:v>
      </x:c>
      <x:c r="D13" s="23" t="d">
        <x:v>2027-03-22T00:00:00.000Z</x:v>
      </x:c>
      <x:c r="E13" s="23" t="d">
        <x:v>2027-04-09T00:00:00.000Z</x:v>
      </x:c>
      <x:c r="F13" s="22" t="str">
        <x:v>A fazer</x:v>
      </x:c>
      <x:c r="G13" s="22" t="str">
        <x:v>Alta</x:v>
      </x:c>
      <x:c r="H13" s="20" t="str">
        <x:v>I03</x:v>
      </x:c>
      <x:c r="I13" s="20" t="str">
        <x:v>Operação preparada</x:v>
      </x:c>
      <x:c r="J13" s="20" t="str">
        <x:v>Treinamento e plano de retorno</x:v>
      </x:c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IF(OR($B13="",$D13="",$E13="",M$8=""),"",IF(AND($E13&gt;=$D13,$D13&lt;=M$8+6,$E13&gt;=M$8),1,""))</x:f>
      </x:c>
      <x:c r="N13" s="25" t="str">
        <x:f>IF(OR($B13="",$D13="",$E13="",N$8=""),"",IF(AND($E13&gt;=$D13,$D13&lt;=N$8+6,$E13&gt;=N$8),1,""))</x:f>
      </x:c>
      <x:c r="O13" s="25" t="str">
        <x:f>IF(OR($B13="",$D13="",$E13="",O$8=""),"",IF(AND($E13&gt;=$D13,$D13&lt;=O$8+6,$E13&gt;=O$8),1,""))</x:f>
      </x:c>
      <x:c r="P13" s="25" t="str">
        <x:f>IF(OR($B13="",$D13="",$E13="",P$8=""),"",IF(AND($E13&gt;=$D13,$D13&lt;=P$8+6,$E13&gt;=P$8),1,""))</x:f>
      </x:c>
      <x:c r="Q13" s="25" t="str">
        <x:f>IF(OR($B13="",$D13="",$E13="",Q$8=""),"",IF(AND($E13&gt;=$D13,$D13&lt;=Q$8+6,$E13&gt;=Q$8),1,""))</x:f>
      </x:c>
      <x:c r="R13" s="25" t="str">
        <x:f>IF(OR($B13="",$D13="",$E13="",R$8=""),"",IF(AND($E13&gt;=$D13,$D13&lt;=R$8+6,$E13&gt;=R$8),1,""))</x:f>
      </x:c>
      <x:c r="S13" s="25" t="str">
        <x:f>IF(OR($B13="",$D13="",$E13="",S$8=""),"",IF(AND($E13&gt;=$D13,$D13&lt;=S$8+6,$E13&gt;=S$8),1,""))</x:f>
      </x:c>
      <x:c r="T13" s="25" t="n">
        <x:f>IF(OR($B13="",$D13="",$E13="",T$8=""),"",IF(AND($E13&gt;=$D13,$D13&lt;=T$8+6,$E13&gt;=T$8),1,""))</x:f>
        <x:v>1</x:v>
      </x:c>
      <x:c r="U13" s="25" t="n">
        <x:f>IF(OR($B13="",$D13="",$E13="",U$8=""),"",IF(AND($E13&gt;=$D13,$D13&lt;=U$8+6,$E13&gt;=U$8),1,""))</x:f>
        <x:v>1</x:v>
      </x:c>
      <x:c r="V13" s="25" t="n">
        <x:f>IF(OR($B13="",$D13="",$E13="",V$8=""),"",IF(AND($E13&gt;=$D13,$D13&lt;=V$8+6,$E13&gt;=V$8),1,""))</x:f>
        <x:v>1</x:v>
      </x:c>
      <x:c r="W13" s="25" t="str">
        <x:f>IF(OR($B13="",$D13="",$E13="",W$8=""),"",IF(AND($E13&gt;=$D13,$D13&lt;=W$8+6,$E13&gt;=W$8),1,""))</x:f>
      </x:c>
      <x:c r="X13" s="25" t="str">
        <x:f>IF(OR($B13="",$D13="",$E13="",X$8=""),"",IF(AND($E13&gt;=$D13,$D13&lt;=X$8+6,$E13&gt;=X$8),1,""))</x:f>
      </x:c>
    </x:row>
    <x:row r="14" ht="43" customHeight="1">
      <x:c r="A14" s="2"/>
      <x:c r="B14" s="20" t="str">
        <x:v>I05 - Go-Live e estabilização</x:v>
      </x:c>
      <x:c r="C14" s="20" t="str">
        <x:v>Negócio e TI</x:v>
      </x:c>
      <x:c r="D14" s="23" t="d">
        <x:v>2027-04-12T00:00:00.000Z</x:v>
      </x:c>
      <x:c r="E14" s="23" t="d">
        <x:v>2027-04-25T00:00:00.000Z</x:v>
      </x:c>
      <x:c r="F14" s="22" t="str">
        <x:v>A fazer</x:v>
      </x:c>
      <x:c r="G14" s="22" t="str">
        <x:v>Alta</x:v>
      </x:c>
      <x:c r="H14" s="20" t="str">
        <x:v>I03, I04</x:v>
      </x:c>
      <x:c r="I14" s="20" t="str">
        <x:v>Entrada em operação</x:v>
      </x:c>
      <x:c r="J14" s="20" t="str">
        <x:v>Critérios de estabilização atendidos</x:v>
      </x:c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IF(OR($B14="",$D14="",$E14="",M$8=""),"",IF(AND($E14&gt;=$D14,$D14&lt;=M$8+6,$E14&gt;=M$8),1,""))</x:f>
      </x:c>
      <x:c r="N14" s="25" t="str">
        <x:f>IF(OR($B14="",$D14="",$E14="",N$8=""),"",IF(AND($E14&gt;=$D14,$D14&lt;=N$8+6,$E14&gt;=N$8),1,""))</x:f>
      </x:c>
      <x:c r="O14" s="25" t="str">
        <x:f>IF(OR($B14="",$D14="",$E14="",O$8=""),"",IF(AND($E14&gt;=$D14,$D14&lt;=O$8+6,$E14&gt;=O$8),1,""))</x:f>
      </x:c>
      <x:c r="P14" s="25" t="str">
        <x:f>IF(OR($B14="",$D14="",$E14="",P$8=""),"",IF(AND($E14&gt;=$D14,$D14&lt;=P$8+6,$E14&gt;=P$8),1,""))</x:f>
      </x:c>
      <x:c r="Q14" s="25" t="str">
        <x:f>IF(OR($B14="",$D14="",$E14="",Q$8=""),"",IF(AND($E14&gt;=$D14,$D14&lt;=Q$8+6,$E14&gt;=Q$8),1,""))</x:f>
      </x:c>
      <x:c r="R14" s="25" t="str">
        <x:f>IF(OR($B14="",$D14="",$E14="",R$8=""),"",IF(AND($E14&gt;=$D14,$D14&lt;=R$8+6,$E14&gt;=R$8),1,""))</x:f>
      </x:c>
      <x:c r="S14" s="25" t="str">
        <x:f>IF(OR($B14="",$D14="",$E14="",S$8=""),"",IF(AND($E14&gt;=$D14,$D14&lt;=S$8+6,$E14&gt;=S$8),1,""))</x:f>
      </x:c>
      <x:c r="T14" s="25" t="str">
        <x:f>IF(OR($B14="",$D14="",$E14="",T$8=""),"",IF(AND($E14&gt;=$D14,$D14&lt;=T$8+6,$E14&gt;=T$8),1,""))</x:f>
      </x:c>
      <x:c r="U14" s="25" t="str">
        <x:f>IF(OR($B14="",$D14="",$E14="",U$8=""),"",IF(AND($E14&gt;=$D14,$D14&lt;=U$8+6,$E14&gt;=U$8),1,""))</x:f>
      </x:c>
      <x:c r="V14" s="25" t="str">
        <x:f>IF(OR($B14="",$D14="",$E14="",V$8=""),"",IF(AND($E14&gt;=$D14,$D14&lt;=V$8+6,$E14&gt;=V$8),1,""))</x:f>
      </x:c>
      <x:c r="W14" s="25" t="n">
        <x:f>IF(OR($B14="",$D14="",$E14="",W$8=""),"",IF(AND($E14&gt;=$D14,$D14&lt;=W$8+6,$E14&gt;=W$8),1,""))</x:f>
        <x:v>1</x:v>
      </x:c>
      <x:c r="X14" s="25" t="n">
        <x:f>IF(OR($B14="",$D14="",$E14="",X$8=""),"",IF(AND($E14&gt;=$D14,$D14&lt;=X$8+6,$E14&gt;=X$8),1,""))</x:f>
        <x:v>1</x:v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IF(OR($B15="",$D15="",$E15="",M$8=""),"",IF(AND($E15&gt;=$D15,$D15&lt;=M$8+6,$E15&gt;=M$8),1,""))</x:f>
      </x:c>
      <x:c r="N15" s="25" t="str">
        <x:f>IF(OR($B15="",$D15="",$E15="",N$8=""),"",IF(AND($E15&gt;=$D15,$D15&lt;=N$8+6,$E15&gt;=N$8),1,""))</x:f>
      </x:c>
      <x:c r="O15" s="25" t="str">
        <x:f>IF(OR($B15="",$D15="",$E15="",O$8=""),"",IF(AND($E15&gt;=$D15,$D15&lt;=O$8+6,$E15&gt;=O$8),1,""))</x:f>
      </x:c>
      <x:c r="P15" s="25" t="str">
        <x:f>IF(OR($B15="",$D15="",$E15="",P$8=""),"",IF(AND($E15&gt;=$D15,$D15&lt;=P$8+6,$E15&gt;=P$8),1,""))</x:f>
      </x:c>
      <x:c r="Q15" s="25" t="str">
        <x:f>IF(OR($B15="",$D15="",$E15="",Q$8=""),"",IF(AND($E15&gt;=$D15,$D15&lt;=Q$8+6,$E15&gt;=Q$8),1,""))</x:f>
      </x:c>
      <x:c r="R15" s="25" t="str">
        <x:f>IF(OR($B15="",$D15="",$E15="",R$8=""),"",IF(AND($E15&gt;=$D15,$D15&lt;=R$8+6,$E15&gt;=R$8),1,""))</x:f>
      </x:c>
      <x:c r="S15" s="25" t="str">
        <x:f>IF(OR($B15="",$D15="",$E15="",S$8=""),"",IF(AND($E15&gt;=$D15,$D15&lt;=S$8+6,$E15&gt;=S$8),1,""))</x:f>
      </x:c>
      <x:c r="T15" s="25" t="str">
        <x:f>IF(OR($B15="",$D15="",$E15="",T$8=""),"",IF(AND($E15&gt;=$D15,$D15&lt;=T$8+6,$E15&gt;=T$8),1,""))</x:f>
      </x:c>
      <x:c r="U15" s="25" t="str">
        <x:f>IF(OR($B15="",$D15="",$E15="",U$8=""),"",IF(AND($E15&gt;=$D15,$D15&lt;=U$8+6,$E15&gt;=U$8),1,""))</x:f>
      </x:c>
      <x:c r="V15" s="25" t="str">
        <x:f>IF(OR($B15="",$D15="",$E15="",V$8=""),"",IF(AND($E15&gt;=$D15,$D15&lt;=V$8+6,$E15&gt;=V$8),1,""))</x:f>
      </x:c>
      <x:c r="W15" s="25" t="str">
        <x:f>IF(OR($B15="",$D15="",$E15="",W$8=""),"",IF(AND($E15&gt;=$D15,$D15&lt;=W$8+6,$E15&gt;=W$8),1,""))</x:f>
      </x:c>
      <x:c r="X15" s="25" t="str">
        <x:f>IF(OR($B15="",$D15="",$E15="",X$8=""),"",IF(AND($E15&gt;=$D15,$D15&lt;=X$8+6,$E15&gt;=X$8),1,""))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IF(OR($B16="",$D16="",$E16="",M$8=""),"",IF(AND($E16&gt;=$D16,$D16&lt;=M$8+6,$E16&gt;=M$8),1,""))</x:f>
      </x:c>
      <x:c r="N16" s="25" t="str">
        <x:f>IF(OR($B16="",$D16="",$E16="",N$8=""),"",IF(AND($E16&gt;=$D16,$D16&lt;=N$8+6,$E16&gt;=N$8),1,""))</x:f>
      </x:c>
      <x:c r="O16" s="25" t="str">
        <x:f>IF(OR($B16="",$D16="",$E16="",O$8=""),"",IF(AND($E16&gt;=$D16,$D16&lt;=O$8+6,$E16&gt;=O$8),1,""))</x:f>
      </x:c>
      <x:c r="P16" s="25" t="str">
        <x:f>IF(OR($B16="",$D16="",$E16="",P$8=""),"",IF(AND($E16&gt;=$D16,$D16&lt;=P$8+6,$E16&gt;=P$8),1,""))</x:f>
      </x:c>
      <x:c r="Q16" s="25" t="str">
        <x:f>IF(OR($B16="",$D16="",$E16="",Q$8=""),"",IF(AND($E16&gt;=$D16,$D16&lt;=Q$8+6,$E16&gt;=Q$8),1,""))</x:f>
      </x:c>
      <x:c r="R16" s="25" t="str">
        <x:f>IF(OR($B16="",$D16="",$E16="",R$8=""),"",IF(AND($E16&gt;=$D16,$D16&lt;=R$8+6,$E16&gt;=R$8),1,""))</x:f>
      </x:c>
      <x:c r="S16" s="25" t="str">
        <x:f>IF(OR($B16="",$D16="",$E16="",S$8=""),"",IF(AND($E16&gt;=$D16,$D16&lt;=S$8+6,$E16&gt;=S$8),1,""))</x:f>
      </x:c>
      <x:c r="T16" s="25" t="str">
        <x:f>IF(OR($B16="",$D16="",$E16="",T$8=""),"",IF(AND($E16&gt;=$D16,$D16&lt;=T$8+6,$E16&gt;=T$8),1,""))</x:f>
      </x:c>
      <x:c r="U16" s="25" t="str">
        <x:f>IF(OR($B16="",$D16="",$E16="",U$8=""),"",IF(AND($E16&gt;=$D16,$D16&lt;=U$8+6,$E16&gt;=U$8),1,""))</x:f>
      </x:c>
      <x:c r="V16" s="25" t="str">
        <x:f>IF(OR($B16="",$D16="",$E16="",V$8=""),"",IF(AND($E16&gt;=$D16,$D16&lt;=V$8+6,$E16&gt;=V$8),1,""))</x:f>
      </x:c>
      <x:c r="W16" s="25" t="str">
        <x:f>IF(OR($B16="",$D16="",$E16="",W$8=""),"",IF(AND($E16&gt;=$D16,$D16&lt;=W$8+6,$E16&gt;=W$8),1,""))</x:f>
      </x:c>
      <x:c r="X16" s="25" t="str">
        <x:f>IF(OR($B16="",$D16="",$E16="",X$8=""),"",IF(AND($E16&gt;=$D16,$D16&lt;=X$8+6,$E16&gt;=X$8),1,""))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IF(OR($B17="",$D17="",$E17="",M$8=""),"",IF(AND($E17&gt;=$D17,$D17&lt;=M$8+6,$E17&gt;=M$8),1,""))</x:f>
      </x:c>
      <x:c r="N17" s="25" t="str">
        <x:f>IF(OR($B17="",$D17="",$E17="",N$8=""),"",IF(AND($E17&gt;=$D17,$D17&lt;=N$8+6,$E17&gt;=N$8),1,""))</x:f>
      </x:c>
      <x:c r="O17" s="25" t="str">
        <x:f>IF(OR($B17="",$D17="",$E17="",O$8=""),"",IF(AND($E17&gt;=$D17,$D17&lt;=O$8+6,$E17&gt;=O$8),1,""))</x:f>
      </x:c>
      <x:c r="P17" s="25" t="str">
        <x:f>IF(OR($B17="",$D17="",$E17="",P$8=""),"",IF(AND($E17&gt;=$D17,$D17&lt;=P$8+6,$E17&gt;=P$8),1,""))</x:f>
      </x:c>
      <x:c r="Q17" s="25" t="str">
        <x:f>IF(OR($B17="",$D17="",$E17="",Q$8=""),"",IF(AND($E17&gt;=$D17,$D17&lt;=Q$8+6,$E17&gt;=Q$8),1,""))</x:f>
      </x:c>
      <x:c r="R17" s="25" t="str">
        <x:f>IF(OR($B17="",$D17="",$E17="",R$8=""),"",IF(AND($E17&gt;=$D17,$D17&lt;=R$8+6,$E17&gt;=R$8),1,""))</x:f>
      </x:c>
      <x:c r="S17" s="25" t="str">
        <x:f>IF(OR($B17="",$D17="",$E17="",S$8=""),"",IF(AND($E17&gt;=$D17,$D17&lt;=S$8+6,$E17&gt;=S$8),1,""))</x:f>
      </x:c>
      <x:c r="T17" s="25" t="str">
        <x:f>IF(OR($B17="",$D17="",$E17="",T$8=""),"",IF(AND($E17&gt;=$D17,$D17&lt;=T$8+6,$E17&gt;=T$8),1,""))</x:f>
      </x:c>
      <x:c r="U17" s="25" t="str">
        <x:f>IF(OR($B17="",$D17="",$E17="",U$8=""),"",IF(AND($E17&gt;=$D17,$D17&lt;=U$8+6,$E17&gt;=U$8),1,""))</x:f>
      </x:c>
      <x:c r="V17" s="25" t="str">
        <x:f>IF(OR($B17="",$D17="",$E17="",V$8=""),"",IF(AND($E17&gt;=$D17,$D17&lt;=V$8+6,$E17&gt;=V$8),1,""))</x:f>
      </x:c>
      <x:c r="W17" s="25" t="str">
        <x:f>IF(OR($B17="",$D17="",$E17="",W$8=""),"",IF(AND($E17&gt;=$D17,$D17&lt;=W$8+6,$E17&gt;=W$8),1,""))</x:f>
      </x:c>
      <x:c r="X17" s="25" t="str">
        <x:f>IF(OR($B17="",$D17="",$E17="",X$8=""),"",IF(AND($E17&gt;=$D17,$D17&lt;=X$8+6,$E17&gt;=X$8),1,""))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IF(OR($B18="",$D18="",$E18="",M$8=""),"",IF(AND($E18&gt;=$D18,$D18&lt;=M$8+6,$E18&gt;=M$8),1,""))</x:f>
      </x:c>
      <x:c r="N18" s="25" t="str">
        <x:f>IF(OR($B18="",$D18="",$E18="",N$8=""),"",IF(AND($E18&gt;=$D18,$D18&lt;=N$8+6,$E18&gt;=N$8),1,""))</x:f>
      </x:c>
      <x:c r="O18" s="25" t="str">
        <x:f>IF(OR($B18="",$D18="",$E18="",O$8=""),"",IF(AND($E18&gt;=$D18,$D18&lt;=O$8+6,$E18&gt;=O$8),1,""))</x:f>
      </x:c>
      <x:c r="P18" s="25" t="str">
        <x:f>IF(OR($B18="",$D18="",$E18="",P$8=""),"",IF(AND($E18&gt;=$D18,$D18&lt;=P$8+6,$E18&gt;=P$8),1,""))</x:f>
      </x:c>
      <x:c r="Q18" s="25" t="str">
        <x:f>IF(OR($B18="",$D18="",$E18="",Q$8=""),"",IF(AND($E18&gt;=$D18,$D18&lt;=Q$8+6,$E18&gt;=Q$8),1,""))</x:f>
      </x:c>
      <x:c r="R18" s="25" t="str">
        <x:f>IF(OR($B18="",$D18="",$E18="",R$8=""),"",IF(AND($E18&gt;=$D18,$D18&lt;=R$8+6,$E18&gt;=R$8),1,""))</x:f>
      </x:c>
      <x:c r="S18" s="25" t="str">
        <x:f>IF(OR($B18="",$D18="",$E18="",S$8=""),"",IF(AND($E18&gt;=$D18,$D18&lt;=S$8+6,$E18&gt;=S$8),1,""))</x:f>
      </x:c>
      <x:c r="T18" s="25" t="str">
        <x:f>IF(OR($B18="",$D18="",$E18="",T$8=""),"",IF(AND($E18&gt;=$D18,$D18&lt;=T$8+6,$E18&gt;=T$8),1,""))</x:f>
      </x:c>
      <x:c r="U18" s="25" t="str">
        <x:f>IF(OR($B18="",$D18="",$E18="",U$8=""),"",IF(AND($E18&gt;=$D18,$D18&lt;=U$8+6,$E18&gt;=U$8),1,""))</x:f>
      </x:c>
      <x:c r="V18" s="25" t="str">
        <x:f>IF(OR($B18="",$D18="",$E18="",V$8=""),"",IF(AND($E18&gt;=$D18,$D18&lt;=V$8+6,$E18&gt;=V$8),1,""))</x:f>
      </x:c>
      <x:c r="W18" s="25" t="str">
        <x:f>IF(OR($B18="",$D18="",$E18="",W$8=""),"",IF(AND($E18&gt;=$D18,$D18&lt;=W$8+6,$E18&gt;=W$8),1,""))</x:f>
      </x:c>
      <x:c r="X18" s="25" t="str">
        <x:f>IF(OR($B18="",$D18="",$E18="",X$8=""),"",IF(AND($E18&gt;=$D18,$D18&lt;=X$8+6,$E18&gt;=X$8),1,""))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IF(OR($B19="",$D19="",$E19="",M$8=""),"",IF(AND($E19&gt;=$D19,$D19&lt;=M$8+6,$E19&gt;=M$8),1,""))</x:f>
      </x:c>
      <x:c r="N19" s="25" t="str">
        <x:f>IF(OR($B19="",$D19="",$E19="",N$8=""),"",IF(AND($E19&gt;=$D19,$D19&lt;=N$8+6,$E19&gt;=N$8),1,""))</x:f>
      </x:c>
      <x:c r="O19" s="25" t="str">
        <x:f>IF(OR($B19="",$D19="",$E19="",O$8=""),"",IF(AND($E19&gt;=$D19,$D19&lt;=O$8+6,$E19&gt;=O$8),1,""))</x:f>
      </x:c>
      <x:c r="P19" s="25" t="str">
        <x:f>IF(OR($B19="",$D19="",$E19="",P$8=""),"",IF(AND($E19&gt;=$D19,$D19&lt;=P$8+6,$E19&gt;=P$8),1,""))</x:f>
      </x:c>
      <x:c r="Q19" s="25" t="str">
        <x:f>IF(OR($B19="",$D19="",$E19="",Q$8=""),"",IF(AND($E19&gt;=$D19,$D19&lt;=Q$8+6,$E19&gt;=Q$8),1,""))</x:f>
      </x:c>
      <x:c r="R19" s="25" t="str">
        <x:f>IF(OR($B19="",$D19="",$E19="",R$8=""),"",IF(AND($E19&gt;=$D19,$D19&lt;=R$8+6,$E19&gt;=R$8),1,""))</x:f>
      </x:c>
      <x:c r="S19" s="25" t="str">
        <x:f>IF(OR($B19="",$D19="",$E19="",S$8=""),"",IF(AND($E19&gt;=$D19,$D19&lt;=S$8+6,$E19&gt;=S$8),1,""))</x:f>
      </x:c>
      <x:c r="T19" s="25" t="str">
        <x:f>IF(OR($B19="",$D19="",$E19="",T$8=""),"",IF(AND($E19&gt;=$D19,$D19&lt;=T$8+6,$E19&gt;=T$8),1,""))</x:f>
      </x:c>
      <x:c r="U19" s="25" t="str">
        <x:f>IF(OR($B19="",$D19="",$E19="",U$8=""),"",IF(AND($E19&gt;=$D19,$D19&lt;=U$8+6,$E19&gt;=U$8),1,""))</x:f>
      </x:c>
      <x:c r="V19" s="25" t="str">
        <x:f>IF(OR($B19="",$D19="",$E19="",V$8=""),"",IF(AND($E19&gt;=$D19,$D19&lt;=V$8+6,$E19&gt;=V$8),1,""))</x:f>
      </x:c>
      <x:c r="W19" s="25" t="str">
        <x:f>IF(OR($B19="",$D19="",$E19="",W$8=""),"",IF(AND($E19&gt;=$D19,$D19&lt;=W$8+6,$E19&gt;=W$8),1,""))</x:f>
      </x:c>
      <x:c r="X19" s="25" t="str">
        <x:f>IF(OR($B19="",$D19="",$E19="",X$8=""),"",IF(AND($E19&gt;=$D19,$D19&lt;=X$8+6,$E19&gt;=X$8),1,""))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IF(OR($B20="",$D20="",$E20="",M$8=""),"",IF(AND($E20&gt;=$D20,$D20&lt;=M$8+6,$E20&gt;=M$8),1,""))</x:f>
      </x:c>
      <x:c r="N20" s="25" t="str">
        <x:f>IF(OR($B20="",$D20="",$E20="",N$8=""),"",IF(AND($E20&gt;=$D20,$D20&lt;=N$8+6,$E20&gt;=N$8),1,""))</x:f>
      </x:c>
      <x:c r="O20" s="25" t="str">
        <x:f>IF(OR($B20="",$D20="",$E20="",O$8=""),"",IF(AND($E20&gt;=$D20,$D20&lt;=O$8+6,$E20&gt;=O$8),1,""))</x:f>
      </x:c>
      <x:c r="P20" s="25" t="str">
        <x:f>IF(OR($B20="",$D20="",$E20="",P$8=""),"",IF(AND($E20&gt;=$D20,$D20&lt;=P$8+6,$E20&gt;=P$8),1,""))</x:f>
      </x:c>
      <x:c r="Q20" s="25" t="str">
        <x:f>IF(OR($B20="",$D20="",$E20="",Q$8=""),"",IF(AND($E20&gt;=$D20,$D20&lt;=Q$8+6,$E20&gt;=Q$8),1,""))</x:f>
      </x:c>
      <x:c r="R20" s="25" t="str">
        <x:f>IF(OR($B20="",$D20="",$E20="",R$8=""),"",IF(AND($E20&gt;=$D20,$D20&lt;=R$8+6,$E20&gt;=R$8),1,""))</x:f>
      </x:c>
      <x:c r="S20" s="25" t="str">
        <x:f>IF(OR($B20="",$D20="",$E20="",S$8=""),"",IF(AND($E20&gt;=$D20,$D20&lt;=S$8+6,$E20&gt;=S$8),1,""))</x:f>
      </x:c>
      <x:c r="T20" s="25" t="str">
        <x:f>IF(OR($B20="",$D20="",$E20="",T$8=""),"",IF(AND($E20&gt;=$D20,$D20&lt;=T$8+6,$E20&gt;=T$8),1,""))</x:f>
      </x:c>
      <x:c r="U20" s="25" t="str">
        <x:f>IF(OR($B20="",$D20="",$E20="",U$8=""),"",IF(AND($E20&gt;=$D20,$D20&lt;=U$8+6,$E20&gt;=U$8),1,""))</x:f>
      </x:c>
      <x:c r="V20" s="25" t="str">
        <x:f>IF(OR($B20="",$D20="",$E20="",V$8=""),"",IF(AND($E20&gt;=$D20,$D20&lt;=V$8+6,$E20&gt;=V$8),1,""))</x:f>
      </x:c>
      <x:c r="W20" s="25" t="str">
        <x:f>IF(OR($B20="",$D20="",$E20="",W$8=""),"",IF(AND($E20&gt;=$D20,$D20&lt;=W$8+6,$E20&gt;=W$8),1,""))</x:f>
      </x:c>
      <x:c r="X20" s="25" t="str">
        <x:f>IF(OR($B20="",$D20="",$E20="",X$8=""),"",IF(AND($E20&gt;=$D20,$D20&lt;=X$8+6,$E20&gt;=X$8),1,""))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IF(OR($B21="",$D21="",$E21="",M$8=""),"",IF(AND($E21&gt;=$D21,$D21&lt;=M$8+6,$E21&gt;=M$8),1,""))</x:f>
      </x:c>
      <x:c r="N21" s="25" t="str">
        <x:f>IF(OR($B21="",$D21="",$E21="",N$8=""),"",IF(AND($E21&gt;=$D21,$D21&lt;=N$8+6,$E21&gt;=N$8),1,""))</x:f>
      </x:c>
      <x:c r="O21" s="25" t="str">
        <x:f>IF(OR($B21="",$D21="",$E21="",O$8=""),"",IF(AND($E21&gt;=$D21,$D21&lt;=O$8+6,$E21&gt;=O$8),1,""))</x:f>
      </x:c>
      <x:c r="P21" s="25" t="str">
        <x:f>IF(OR($B21="",$D21="",$E21="",P$8=""),"",IF(AND($E21&gt;=$D21,$D21&lt;=P$8+6,$E21&gt;=P$8),1,""))</x:f>
      </x:c>
      <x:c r="Q21" s="25" t="str">
        <x:f>IF(OR($B21="",$D21="",$E21="",Q$8=""),"",IF(AND($E21&gt;=$D21,$D21&lt;=Q$8+6,$E21&gt;=Q$8),1,""))</x:f>
      </x:c>
      <x:c r="R21" s="25" t="str">
        <x:f>IF(OR($B21="",$D21="",$E21="",R$8=""),"",IF(AND($E21&gt;=$D21,$D21&lt;=R$8+6,$E21&gt;=R$8),1,""))</x:f>
      </x:c>
      <x:c r="S21" s="25" t="str">
        <x:f>IF(OR($B21="",$D21="",$E21="",S$8=""),"",IF(AND($E21&gt;=$D21,$D21&lt;=S$8+6,$E21&gt;=S$8),1,""))</x:f>
      </x:c>
      <x:c r="T21" s="25" t="str">
        <x:f>IF(OR($B21="",$D21="",$E21="",T$8=""),"",IF(AND($E21&gt;=$D21,$D21&lt;=T$8+6,$E21&gt;=T$8),1,""))</x:f>
      </x:c>
      <x:c r="U21" s="25" t="str">
        <x:f>IF(OR($B21="",$D21="",$E21="",U$8=""),"",IF(AND($E21&gt;=$D21,$D21&lt;=U$8+6,$E21&gt;=U$8),1,""))</x:f>
      </x:c>
      <x:c r="V21" s="25" t="str">
        <x:f>IF(OR($B21="",$D21="",$E21="",V$8=""),"",IF(AND($E21&gt;=$D21,$D21&lt;=V$8+6,$E21&gt;=V$8),1,""))</x:f>
      </x:c>
      <x:c r="W21" s="25" t="str">
        <x:f>IF(OR($B21="",$D21="",$E21="",W$8=""),"",IF(AND($E21&gt;=$D21,$D21&lt;=W$8+6,$E21&gt;=W$8),1,""))</x:f>
      </x:c>
      <x:c r="X21" s="25" t="str">
        <x:f>IF(OR($B21="",$D21="",$E21="",X$8=""),"",IF(AND($E21&gt;=$D21,$D21&lt;=X$8+6,$E21&gt;=X$8),1,""))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</x:row>
  </x:sheetData>
  <x:conditionalFormatting sqref="F10:F21">
    <x:cfRule type="expression" dxfId="120" priority="1">
      <x:formula>$F10="A fazer"</x:formula>
    </x:cfRule>
    <x:cfRule type="expression" dxfId="122" priority="3">
      <x:formula>$F10="Em andamento"</x:formula>
    </x:cfRule>
    <x:cfRule type="expression" dxfId="124" priority="5">
      <x:formula>$F10="Em validação"</x:formula>
    </x:cfRule>
    <x:cfRule type="expression" dxfId="126" priority="7">
      <x:formula>$F10="Concluído"</x:formula>
    </x:cfRule>
    <x:cfRule type="expression" dxfId="128" priority="9">
      <x:formula>$F10="Bloqueado"</x:formula>
    </x:cfRule>
    <x:cfRule type="expression" dxfId="130" priority="11">
      <x:formula>$F10="Pausado"</x:formula>
    </x:cfRule>
  </x:conditionalFormatting>
  <x:conditionalFormatting sqref="M10:X21">
    <x:cfRule type="expression" dxfId="121" priority="2">
      <x:formula>AND(M10=1,$F10="A fazer")</x:formula>
    </x:cfRule>
    <x:cfRule type="expression" dxfId="123" priority="4">
      <x:formula>AND(M10=1,$F10="Em andamento")</x:formula>
    </x:cfRule>
    <x:cfRule type="expression" dxfId="125" priority="6">
      <x:formula>AND(M10=1,$F10="Em validação")</x:formula>
    </x:cfRule>
    <x:cfRule type="expression" dxfId="127" priority="8">
      <x:formula>AND(M10=1,$F10="Concluído")</x:formula>
    </x:cfRule>
    <x:cfRule type="expression" dxfId="129" priority="10">
      <x:formula>AND(M10=1,$F10="Bloqueado")</x:formula>
    </x:cfRule>
    <x:cfRule type="expression" dxfId="131" priority="12">
      <x:formula>AND(M10=1,$F10="Pausado")</x:formula>
    </x:cfRule>
    <x:cfRule type="expression" dxfId="132" priority="13">
      <x:formula>AND(M10=1,$F10="")</x:formula>
    </x:cfRule>
  </x:conditionalFormatting>
  <x:conditionalFormatting sqref="K10:K21">
    <x:cfRule type="containsText" dxfId="133" priority="14" operator="containsText" text="Rever datas"/>
    <x:cfRule type="containsText" dxfId="134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AEBBC0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1" customHeight="1">
      <x:c r="A2" s="2"/>
      <x:c r="B2" s="3" t="str">
        <x:v>Processos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1" customHeight="1">
      <x:c r="A3" s="2"/>
      <x:c r="B3" s="30" t="str">
        <x:v>Exemplo fictício</x:v>
      </x:c>
      <x:c r="C3" s="2"/>
      <x:c r="D3" s="2"/>
      <x:c r="E3" s="2"/>
      <x:c r="F3" s="2"/>
      <x:c r="G3" s="2"/>
      <x:c r="H3" s="2"/>
      <x:c r="I3" s="16" t="str">
        <x:v>90 dias em seis ciclos de 15 dias</x:v>
      </x:c>
      <x:c r="J3" s="2"/>
      <x:c r="K3" s="2"/>
      <x:c r="L3" s="2"/>
      <x:c r="M3" s="2"/>
      <x:c r="N3" s="2"/>
      <x:c r="O3" s="2"/>
      <x:c r="P3" s="2"/>
      <x:c r="Q3" s="2"/>
      <x:c r="R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1" customHeight="1">
      <x:c r="A5" s="2"/>
      <x:c r="B5" s="2" t="str">
        <x:v>Data-base</x:v>
      </x:c>
      <x:c r="C5" s="19" t="d">
        <x:v>2027-02-01T00:00:00.000Z</x:v>
      </x:c>
      <x:c r="D5" s="2"/>
      <x:c r="E5" s="2"/>
      <x:c r="F5" s="2" t="str">
        <x:v>Data de revisão</x:v>
      </x:c>
      <x:c r="G5" s="19" t="d">
        <x:v>2027-03-01T00:00:00.000Z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Dados e datas fictícios</x:v>
      </x:c>
      <x:c r="K7" s="16"/>
      <x:c r="L7" s="2"/>
      <x:c r="M7" s="2"/>
      <x:c r="N7" s="2"/>
      <x:c r="O7" s="2"/>
      <x:c r="P7" s="2"/>
      <x:c r="Q7" s="2"/>
      <x:c r="R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n">
        <x:f>IF($C$5="","",$C$5+0)</x:f>
        <x:v>46419</x:v>
      </x:c>
      <x:c r="N8" s="28" t="n">
        <x:f>IF($C$5="","",$C$5+15)</x:f>
        <x:v>46434</x:v>
      </x:c>
      <x:c r="O8" s="28" t="n">
        <x:f>IF($C$5="","",$C$5+30)</x:f>
        <x:v>46449</x:v>
      </x:c>
      <x:c r="P8" s="28" t="n">
        <x:f>IF($C$5="","",$C$5+45)</x:f>
        <x:v>46464</x:v>
      </x:c>
      <x:c r="Q8" s="28" t="n">
        <x:f>IF($C$5="","",$C$5+60)</x:f>
        <x:v>46479</x:v>
      </x:c>
      <x:c r="R8" s="28" t="n">
        <x:f>IF($C$5="","",$C$5+75)</x:f>
        <x:v>46494</x:v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Q1</x:v>
      </x:c>
      <x:c r="N9" s="8" t="str">
        <x:v>Q2</x:v>
      </x:c>
      <x:c r="O9" s="8" t="str">
        <x:v>Q3</x:v>
      </x:c>
      <x:c r="P9" s="8" t="str">
        <x:v>Q4</x:v>
      </x:c>
      <x:c r="Q9" s="8" t="str">
        <x:v>Q5</x:v>
      </x:c>
      <x:c r="R9" s="8" t="str">
        <x:v>Q6</x:v>
      </x:c>
    </x:row>
    <x:row r="10" ht="43" customHeight="1">
      <x:c r="A10" s="2"/>
      <x:c r="B10" s="20" t="str">
        <x:v>M01 - Levantar o processo AS IS</x:v>
      </x:c>
      <x:c r="C10" s="20" t="str">
        <x:v>Processos</x:v>
      </x:c>
      <x:c r="D10" s="23" t="d">
        <x:v>2027-02-01T00:00:00.000Z</x:v>
      </x:c>
      <x:c r="E10" s="23" t="d">
        <x:v>2027-02-15T00:00:00.000Z</x:v>
      </x:c>
      <x:c r="F10" s="22" t="str">
        <x:v>Concluído</x:v>
      </x:c>
      <x:c r="G10" s="22" t="str">
        <x:v>Alta</x:v>
      </x:c>
      <x:c r="H10" s="20" t="str"/>
      <x:c r="I10" s="20" t="str">
        <x:v>Fluxo atual compreendido</x:v>
      </x:c>
      <x:c r="J10" s="20" t="str">
        <x:v>Mapa revisado com a área</x:v>
      </x:c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n">
        <x:f>IF(OR($B10="",$D10="",$E10="",M$8=""),"",IF(AND($E10&gt;=$D10,$D10&lt;=M$8+14,$E10&gt;=M$8),1,""))</x:f>
        <x:v>1</x:v>
      </x:c>
      <x:c r="N10" s="25" t="str">
        <x:f>IF(OR($B10="",$D10="",$E10="",N$8=""),"",IF(AND($E10&gt;=$D10,$D10&lt;=N$8+14,$E10&gt;=N$8),1,""))</x:f>
      </x:c>
      <x:c r="O10" s="25" t="str">
        <x:f>IF(OR($B10="",$D10="",$E10="",O$8=""),"",IF(AND($E10&gt;=$D10,$D10&lt;=O$8+14,$E10&gt;=O$8),1,""))</x:f>
      </x:c>
      <x:c r="P10" s="25" t="str">
        <x:f>IF(OR($B10="",$D10="",$E10="",P$8=""),"",IF(AND($E10&gt;=$D10,$D10&lt;=P$8+14,$E10&gt;=P$8),1,""))</x:f>
      </x:c>
      <x:c r="Q10" s="25" t="str">
        <x:f>IF(OR($B10="",$D10="",$E10="",Q$8=""),"",IF(AND($E10&gt;=$D10,$D10&lt;=Q$8+14,$E10&gt;=Q$8),1,""))</x:f>
      </x:c>
      <x:c r="R10" s="25" t="str">
        <x:f>IF(OR($B10="",$D10="",$E10="",R$8=""),"",IF(AND($E10&gt;=$D10,$D10&lt;=R$8+14,$E10&gt;=R$8),1,""))</x:f>
      </x:c>
    </x:row>
    <x:row r="11" ht="43" customHeight="1">
      <x:c r="A11" s="2"/>
      <x:c r="B11" s="20" t="str">
        <x:v>M02 - Analisar pontos críticos</x:v>
      </x:c>
      <x:c r="C11" s="20" t="str">
        <x:v>Processos e área</x:v>
      </x:c>
      <x:c r="D11" s="23" t="d">
        <x:v>2027-02-16T00:00:00.000Z</x:v>
      </x:c>
      <x:c r="E11" s="23" t="d">
        <x:v>2027-03-02T00:00:00.000Z</x:v>
      </x:c>
      <x:c r="F11" s="22" t="str">
        <x:v>Em andamento</x:v>
      </x:c>
      <x:c r="G11" s="22" t="str">
        <x:v>Alta</x:v>
      </x:c>
      <x:c r="H11" s="20" t="str">
        <x:v>M01</x:v>
      </x:c>
      <x:c r="I11" s="20" t="str">
        <x:v>Problemas priorizados</x:v>
      </x:c>
      <x:c r="J11" s="20" t="str">
        <x:v>Causas e prioridades registradas</x:v>
      </x:c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str">
        <x:f>IF(OR($B11="",$D11="",$E11="",M$8=""),"",IF(AND($E11&gt;=$D11,$D11&lt;=M$8+14,$E11&gt;=M$8),1,""))</x:f>
      </x:c>
      <x:c r="N11" s="25" t="n">
        <x:f>IF(OR($B11="",$D11="",$E11="",N$8=""),"",IF(AND($E11&gt;=$D11,$D11&lt;=N$8+14,$E11&gt;=N$8),1,""))</x:f>
        <x:v>1</x:v>
      </x:c>
      <x:c r="O11" s="25" t="str">
        <x:f>IF(OR($B11="",$D11="",$E11="",O$8=""),"",IF(AND($E11&gt;=$D11,$D11&lt;=O$8+14,$E11&gt;=O$8),1,""))</x:f>
      </x:c>
      <x:c r="P11" s="25" t="str">
        <x:f>IF(OR($B11="",$D11="",$E11="",P$8=""),"",IF(AND($E11&gt;=$D11,$D11&lt;=P$8+14,$E11&gt;=P$8),1,""))</x:f>
      </x:c>
      <x:c r="Q11" s="25" t="str">
        <x:f>IF(OR($B11="",$D11="",$E11="",Q$8=""),"",IF(AND($E11&gt;=$D11,$D11&lt;=Q$8+14,$E11&gt;=Q$8),1,""))</x:f>
      </x:c>
      <x:c r="R11" s="25" t="str">
        <x:f>IF(OR($B11="",$D11="",$E11="",R$8=""),"",IF(AND($E11&gt;=$D11,$D11&lt;=R$8+14,$E11&gt;=R$8),1,""))</x:f>
      </x:c>
    </x:row>
    <x:row r="12" ht="43" customHeight="1">
      <x:c r="A12" s="2"/>
      <x:c r="B12" s="20" t="str">
        <x:v>M03 - Desenhar o processo TO BE</x:v>
      </x:c>
      <x:c r="C12" s="20" t="str">
        <x:v>Processos</x:v>
      </x:c>
      <x:c r="D12" s="23" t="d">
        <x:v>2027-03-03T00:00:00.000Z</x:v>
      </x:c>
      <x:c r="E12" s="23" t="d">
        <x:v>2027-03-20T00:00:00.000Z</x:v>
      </x:c>
      <x:c r="F12" s="22" t="str">
        <x:v>A fazer</x:v>
      </x:c>
      <x:c r="G12" s="22" t="str">
        <x:v>Alta</x:v>
      </x:c>
      <x:c r="H12" s="20" t="str">
        <x:v>M02</x:v>
      </x:c>
      <x:c r="I12" s="20" t="str">
        <x:v>Fluxo futuro proposto</x:v>
      </x:c>
      <x:c r="J12" s="20" t="str">
        <x:v>Fluxo e controles validados</x:v>
      </x:c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IF(OR($B12="",$D12="",$E12="",M$8=""),"",IF(AND($E12&gt;=$D12,$D12&lt;=M$8+14,$E12&gt;=M$8),1,""))</x:f>
      </x:c>
      <x:c r="N12" s="25" t="str">
        <x:f>IF(OR($B12="",$D12="",$E12="",N$8=""),"",IF(AND($E12&gt;=$D12,$D12&lt;=N$8+14,$E12&gt;=N$8),1,""))</x:f>
      </x:c>
      <x:c r="O12" s="25" t="n">
        <x:f>IF(OR($B12="",$D12="",$E12="",O$8=""),"",IF(AND($E12&gt;=$D12,$D12&lt;=O$8+14,$E12&gt;=O$8),1,""))</x:f>
        <x:v>1</x:v>
      </x:c>
      <x:c r="P12" s="25" t="n">
        <x:f>IF(OR($B12="",$D12="",$E12="",P$8=""),"",IF(AND($E12&gt;=$D12,$D12&lt;=P$8+14,$E12&gt;=P$8),1,""))</x:f>
        <x:v>1</x:v>
      </x:c>
      <x:c r="Q12" s="25" t="str">
        <x:f>IF(OR($B12="",$D12="",$E12="",Q$8=""),"",IF(AND($E12&gt;=$D12,$D12&lt;=Q$8+14,$E12&gt;=Q$8),1,""))</x:f>
      </x:c>
      <x:c r="R12" s="25" t="str">
        <x:f>IF(OR($B12="",$D12="",$E12="",R$8=""),"",IF(AND($E12&gt;=$D12,$D12&lt;=R$8+14,$E12&gt;=R$8),1,""))</x:f>
      </x:c>
    </x:row>
    <x:row r="13" ht="43" customHeight="1">
      <x:c r="A13" s="2"/>
      <x:c r="B13" s="20" t="str">
        <x:v>M04 - Executar um piloto</x:v>
      </x:c>
      <x:c r="C13" s="20" t="str">
        <x:v>Área responsável</x:v>
      </x:c>
      <x:c r="D13" s="23" t="d">
        <x:v>2027-03-21T00:00:00.000Z</x:v>
      </x:c>
      <x:c r="E13" s="23" t="d">
        <x:v>2027-04-10T00:00:00.000Z</x:v>
      </x:c>
      <x:c r="F13" s="22" t="str">
        <x:v>A fazer</x:v>
      </x:c>
      <x:c r="G13" s="22" t="str">
        <x:v>Média</x:v>
      </x:c>
      <x:c r="H13" s="20" t="str">
        <x:v>M03</x:v>
      </x:c>
      <x:c r="I13" s="20" t="str">
        <x:v>Proposta testada</x:v>
      </x:c>
      <x:c r="J13" s="20" t="str">
        <x:v>Observações do piloto registradas</x:v>
      </x:c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IF(OR($B13="",$D13="",$E13="",M$8=""),"",IF(AND($E13&gt;=$D13,$D13&lt;=M$8+14,$E13&gt;=M$8),1,""))</x:f>
      </x:c>
      <x:c r="N13" s="25" t="str">
        <x:f>IF(OR($B13="",$D13="",$E13="",N$8=""),"",IF(AND($E13&gt;=$D13,$D13&lt;=N$8+14,$E13&gt;=N$8),1,""))</x:f>
      </x:c>
      <x:c r="O13" s="25" t="str">
        <x:f>IF(OR($B13="",$D13="",$E13="",O$8=""),"",IF(AND($E13&gt;=$D13,$D13&lt;=O$8+14,$E13&gt;=O$8),1,""))</x:f>
      </x:c>
      <x:c r="P13" s="25" t="n">
        <x:f>IF(OR($B13="",$D13="",$E13="",P$8=""),"",IF(AND($E13&gt;=$D13,$D13&lt;=P$8+14,$E13&gt;=P$8),1,""))</x:f>
        <x:v>1</x:v>
      </x:c>
      <x:c r="Q13" s="25" t="n">
        <x:f>IF(OR($B13="",$D13="",$E13="",Q$8=""),"",IF(AND($E13&gt;=$D13,$D13&lt;=Q$8+14,$E13&gt;=Q$8),1,""))</x:f>
        <x:v>1</x:v>
      </x:c>
      <x:c r="R13" s="25" t="str">
        <x:f>IF(OR($B13="",$D13="",$E13="",R$8=""),"",IF(AND($E13&gt;=$D13,$D13&lt;=R$8+14,$E13&gt;=R$8),1,""))</x:f>
      </x:c>
    </x:row>
    <x:row r="14" ht="43" customHeight="1">
      <x:c r="A14" s="2"/>
      <x:c r="B14" s="20" t="str">
        <x:v>M05 - Medir e padronizar</x:v>
      </x:c>
      <x:c r="C14" s="20" t="str">
        <x:v>Qualidade e área</x:v>
      </x:c>
      <x:c r="D14" s="23" t="d">
        <x:v>2027-04-11T00:00:00.000Z</x:v>
      </x:c>
      <x:c r="E14" s="23" t="d">
        <x:v>2027-05-01T00:00:00.000Z</x:v>
      </x:c>
      <x:c r="F14" s="22" t="str">
        <x:v>A fazer</x:v>
      </x:c>
      <x:c r="G14" s="22" t="str">
        <x:v>Média</x:v>
      </x:c>
      <x:c r="H14" s="20" t="str">
        <x:v>M04</x:v>
      </x:c>
      <x:c r="I14" s="20" t="str">
        <x:v>Acompanhamento definido</x:v>
      </x:c>
      <x:c r="J14" s="20" t="str">
        <x:v>Indicador, fonte e rotina definidos</x:v>
      </x:c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IF(OR($B14="",$D14="",$E14="",M$8=""),"",IF(AND($E14&gt;=$D14,$D14&lt;=M$8+14,$E14&gt;=M$8),1,""))</x:f>
      </x:c>
      <x:c r="N14" s="25" t="str">
        <x:f>IF(OR($B14="",$D14="",$E14="",N$8=""),"",IF(AND($E14&gt;=$D14,$D14&lt;=N$8+14,$E14&gt;=N$8),1,""))</x:f>
      </x:c>
      <x:c r="O14" s="25" t="str">
        <x:f>IF(OR($B14="",$D14="",$E14="",O$8=""),"",IF(AND($E14&gt;=$D14,$D14&lt;=O$8+14,$E14&gt;=O$8),1,""))</x:f>
      </x:c>
      <x:c r="P14" s="25" t="str">
        <x:f>IF(OR($B14="",$D14="",$E14="",P$8=""),"",IF(AND($E14&gt;=$D14,$D14&lt;=P$8+14,$E14&gt;=P$8),1,""))</x:f>
      </x:c>
      <x:c r="Q14" s="25" t="n">
        <x:f>IF(OR($B14="",$D14="",$E14="",Q$8=""),"",IF(AND($E14&gt;=$D14,$D14&lt;=Q$8+14,$E14&gt;=Q$8),1,""))</x:f>
        <x:v>1</x:v>
      </x:c>
      <x:c r="R14" s="25" t="n">
        <x:f>IF(OR($B14="",$D14="",$E14="",R$8=""),"",IF(AND($E14&gt;=$D14,$D14&lt;=R$8+14,$E14&gt;=R$8),1,""))</x:f>
        <x:v>1</x:v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IF(OR($B15="",$D15="",$E15="",M$8=""),"",IF(AND($E15&gt;=$D15,$D15&lt;=M$8+14,$E15&gt;=M$8),1,""))</x:f>
      </x:c>
      <x:c r="N15" s="25" t="str">
        <x:f>IF(OR($B15="",$D15="",$E15="",N$8=""),"",IF(AND($E15&gt;=$D15,$D15&lt;=N$8+14,$E15&gt;=N$8),1,""))</x:f>
      </x:c>
      <x:c r="O15" s="25" t="str">
        <x:f>IF(OR($B15="",$D15="",$E15="",O$8=""),"",IF(AND($E15&gt;=$D15,$D15&lt;=O$8+14,$E15&gt;=O$8),1,""))</x:f>
      </x:c>
      <x:c r="P15" s="25" t="str">
        <x:f>IF(OR($B15="",$D15="",$E15="",P$8=""),"",IF(AND($E15&gt;=$D15,$D15&lt;=P$8+14,$E15&gt;=P$8),1,""))</x:f>
      </x:c>
      <x:c r="Q15" s="25" t="str">
        <x:f>IF(OR($B15="",$D15="",$E15="",Q$8=""),"",IF(AND($E15&gt;=$D15,$D15&lt;=Q$8+14,$E15&gt;=Q$8),1,""))</x:f>
      </x:c>
      <x:c r="R15" s="25" t="str">
        <x:f>IF(OR($B15="",$D15="",$E15="",R$8=""),"",IF(AND($E15&gt;=$D15,$D15&lt;=R$8+14,$E15&gt;=R$8),1,""))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IF(OR($B16="",$D16="",$E16="",M$8=""),"",IF(AND($E16&gt;=$D16,$D16&lt;=M$8+14,$E16&gt;=M$8),1,""))</x:f>
      </x:c>
      <x:c r="N16" s="25" t="str">
        <x:f>IF(OR($B16="",$D16="",$E16="",N$8=""),"",IF(AND($E16&gt;=$D16,$D16&lt;=N$8+14,$E16&gt;=N$8),1,""))</x:f>
      </x:c>
      <x:c r="O16" s="25" t="str">
        <x:f>IF(OR($B16="",$D16="",$E16="",O$8=""),"",IF(AND($E16&gt;=$D16,$D16&lt;=O$8+14,$E16&gt;=O$8),1,""))</x:f>
      </x:c>
      <x:c r="P16" s="25" t="str">
        <x:f>IF(OR($B16="",$D16="",$E16="",P$8=""),"",IF(AND($E16&gt;=$D16,$D16&lt;=P$8+14,$E16&gt;=P$8),1,""))</x:f>
      </x:c>
      <x:c r="Q16" s="25" t="str">
        <x:f>IF(OR($B16="",$D16="",$E16="",Q$8=""),"",IF(AND($E16&gt;=$D16,$D16&lt;=Q$8+14,$E16&gt;=Q$8),1,""))</x:f>
      </x:c>
      <x:c r="R16" s="25" t="str">
        <x:f>IF(OR($B16="",$D16="",$E16="",R$8=""),"",IF(AND($E16&gt;=$D16,$D16&lt;=R$8+14,$E16&gt;=R$8),1,""))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IF(OR($B17="",$D17="",$E17="",M$8=""),"",IF(AND($E17&gt;=$D17,$D17&lt;=M$8+14,$E17&gt;=M$8),1,""))</x:f>
      </x:c>
      <x:c r="N17" s="25" t="str">
        <x:f>IF(OR($B17="",$D17="",$E17="",N$8=""),"",IF(AND($E17&gt;=$D17,$D17&lt;=N$8+14,$E17&gt;=N$8),1,""))</x:f>
      </x:c>
      <x:c r="O17" s="25" t="str">
        <x:f>IF(OR($B17="",$D17="",$E17="",O$8=""),"",IF(AND($E17&gt;=$D17,$D17&lt;=O$8+14,$E17&gt;=O$8),1,""))</x:f>
      </x:c>
      <x:c r="P17" s="25" t="str">
        <x:f>IF(OR($B17="",$D17="",$E17="",P$8=""),"",IF(AND($E17&gt;=$D17,$D17&lt;=P$8+14,$E17&gt;=P$8),1,""))</x:f>
      </x:c>
      <x:c r="Q17" s="25" t="str">
        <x:f>IF(OR($B17="",$D17="",$E17="",Q$8=""),"",IF(AND($E17&gt;=$D17,$D17&lt;=Q$8+14,$E17&gt;=Q$8),1,""))</x:f>
      </x:c>
      <x:c r="R17" s="25" t="str">
        <x:f>IF(OR($B17="",$D17="",$E17="",R$8=""),"",IF(AND($E17&gt;=$D17,$D17&lt;=R$8+14,$E17&gt;=R$8),1,""))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IF(OR($B18="",$D18="",$E18="",M$8=""),"",IF(AND($E18&gt;=$D18,$D18&lt;=M$8+14,$E18&gt;=M$8),1,""))</x:f>
      </x:c>
      <x:c r="N18" s="25" t="str">
        <x:f>IF(OR($B18="",$D18="",$E18="",N$8=""),"",IF(AND($E18&gt;=$D18,$D18&lt;=N$8+14,$E18&gt;=N$8),1,""))</x:f>
      </x:c>
      <x:c r="O18" s="25" t="str">
        <x:f>IF(OR($B18="",$D18="",$E18="",O$8=""),"",IF(AND($E18&gt;=$D18,$D18&lt;=O$8+14,$E18&gt;=O$8),1,""))</x:f>
      </x:c>
      <x:c r="P18" s="25" t="str">
        <x:f>IF(OR($B18="",$D18="",$E18="",P$8=""),"",IF(AND($E18&gt;=$D18,$D18&lt;=P$8+14,$E18&gt;=P$8),1,""))</x:f>
      </x:c>
      <x:c r="Q18" s="25" t="str">
        <x:f>IF(OR($B18="",$D18="",$E18="",Q$8=""),"",IF(AND($E18&gt;=$D18,$D18&lt;=Q$8+14,$E18&gt;=Q$8),1,""))</x:f>
      </x:c>
      <x:c r="R18" s="25" t="str">
        <x:f>IF(OR($B18="",$D18="",$E18="",R$8=""),"",IF(AND($E18&gt;=$D18,$D18&lt;=R$8+14,$E18&gt;=R$8),1,""))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IF(OR($B19="",$D19="",$E19="",M$8=""),"",IF(AND($E19&gt;=$D19,$D19&lt;=M$8+14,$E19&gt;=M$8),1,""))</x:f>
      </x:c>
      <x:c r="N19" s="25" t="str">
        <x:f>IF(OR($B19="",$D19="",$E19="",N$8=""),"",IF(AND($E19&gt;=$D19,$D19&lt;=N$8+14,$E19&gt;=N$8),1,""))</x:f>
      </x:c>
      <x:c r="O19" s="25" t="str">
        <x:f>IF(OR($B19="",$D19="",$E19="",O$8=""),"",IF(AND($E19&gt;=$D19,$D19&lt;=O$8+14,$E19&gt;=O$8),1,""))</x:f>
      </x:c>
      <x:c r="P19" s="25" t="str">
        <x:f>IF(OR($B19="",$D19="",$E19="",P$8=""),"",IF(AND($E19&gt;=$D19,$D19&lt;=P$8+14,$E19&gt;=P$8),1,""))</x:f>
      </x:c>
      <x:c r="Q19" s="25" t="str">
        <x:f>IF(OR($B19="",$D19="",$E19="",Q$8=""),"",IF(AND($E19&gt;=$D19,$D19&lt;=Q$8+14,$E19&gt;=Q$8),1,""))</x:f>
      </x:c>
      <x:c r="R19" s="25" t="str">
        <x:f>IF(OR($B19="",$D19="",$E19="",R$8=""),"",IF(AND($E19&gt;=$D19,$D19&lt;=R$8+14,$E19&gt;=R$8),1,""))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IF(OR($B20="",$D20="",$E20="",M$8=""),"",IF(AND($E20&gt;=$D20,$D20&lt;=M$8+14,$E20&gt;=M$8),1,""))</x:f>
      </x:c>
      <x:c r="N20" s="25" t="str">
        <x:f>IF(OR($B20="",$D20="",$E20="",N$8=""),"",IF(AND($E20&gt;=$D20,$D20&lt;=N$8+14,$E20&gt;=N$8),1,""))</x:f>
      </x:c>
      <x:c r="O20" s="25" t="str">
        <x:f>IF(OR($B20="",$D20="",$E20="",O$8=""),"",IF(AND($E20&gt;=$D20,$D20&lt;=O$8+14,$E20&gt;=O$8),1,""))</x:f>
      </x:c>
      <x:c r="P20" s="25" t="str">
        <x:f>IF(OR($B20="",$D20="",$E20="",P$8=""),"",IF(AND($E20&gt;=$D20,$D20&lt;=P$8+14,$E20&gt;=P$8),1,""))</x:f>
      </x:c>
      <x:c r="Q20" s="25" t="str">
        <x:f>IF(OR($B20="",$D20="",$E20="",Q$8=""),"",IF(AND($E20&gt;=$D20,$D20&lt;=Q$8+14,$E20&gt;=Q$8),1,""))</x:f>
      </x:c>
      <x:c r="R20" s="25" t="str">
        <x:f>IF(OR($B20="",$D20="",$E20="",R$8=""),"",IF(AND($E20&gt;=$D20,$D20&lt;=R$8+14,$E20&gt;=R$8),1,""))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IF(OR($B21="",$D21="",$E21="",M$8=""),"",IF(AND($E21&gt;=$D21,$D21&lt;=M$8+14,$E21&gt;=M$8),1,""))</x:f>
      </x:c>
      <x:c r="N21" s="25" t="str">
        <x:f>IF(OR($B21="",$D21="",$E21="",N$8=""),"",IF(AND($E21&gt;=$D21,$D21&lt;=N$8+14,$E21&gt;=N$8),1,""))</x:f>
      </x:c>
      <x:c r="O21" s="25" t="str">
        <x:f>IF(OR($B21="",$D21="",$E21="",O$8=""),"",IF(AND($E21&gt;=$D21,$D21&lt;=O$8+14,$E21&gt;=O$8),1,""))</x:f>
      </x:c>
      <x:c r="P21" s="25" t="str">
        <x:f>IF(OR($B21="",$D21="",$E21="",P$8=""),"",IF(AND($E21&gt;=$D21,$D21&lt;=P$8+14,$E21&gt;=P$8),1,""))</x:f>
      </x:c>
      <x:c r="Q21" s="25" t="str">
        <x:f>IF(OR($B21="",$D21="",$E21="",Q$8=""),"",IF(AND($E21&gt;=$D21,$D21&lt;=Q$8+14,$E21&gt;=Q$8),1,""))</x:f>
      </x:c>
      <x:c r="R21" s="25" t="str">
        <x:f>IF(OR($B21="",$D21="",$E21="",R$8=""),"",IF(AND($E21&gt;=$D21,$D21&lt;=R$8+14,$E21&gt;=R$8),1,""))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</x:sheetData>
  <x:conditionalFormatting sqref="F10:F21">
    <x:cfRule type="expression" dxfId="135" priority="1">
      <x:formula>$F10="A fazer"</x:formula>
    </x:cfRule>
    <x:cfRule type="expression" dxfId="137" priority="3">
      <x:formula>$F10="Em andamento"</x:formula>
    </x:cfRule>
    <x:cfRule type="expression" dxfId="139" priority="5">
      <x:formula>$F10="Em validação"</x:formula>
    </x:cfRule>
    <x:cfRule type="expression" dxfId="141" priority="7">
      <x:formula>$F10="Concluído"</x:formula>
    </x:cfRule>
    <x:cfRule type="expression" dxfId="143" priority="9">
      <x:formula>$F10="Bloqueado"</x:formula>
    </x:cfRule>
    <x:cfRule type="expression" dxfId="145" priority="11">
      <x:formula>$F10="Pausado"</x:formula>
    </x:cfRule>
  </x:conditionalFormatting>
  <x:conditionalFormatting sqref="M10:R21">
    <x:cfRule type="expression" dxfId="136" priority="2">
      <x:formula>AND(M10=1,$F10="A fazer")</x:formula>
    </x:cfRule>
    <x:cfRule type="expression" dxfId="138" priority="4">
      <x:formula>AND(M10=1,$F10="Em andamento")</x:formula>
    </x:cfRule>
    <x:cfRule type="expression" dxfId="140" priority="6">
      <x:formula>AND(M10=1,$F10="Em validação")</x:formula>
    </x:cfRule>
    <x:cfRule type="expression" dxfId="142" priority="8">
      <x:formula>AND(M10=1,$F10="Concluído")</x:formula>
    </x:cfRule>
    <x:cfRule type="expression" dxfId="144" priority="10">
      <x:formula>AND(M10=1,$F10="Bloqueado")</x:formula>
    </x:cfRule>
    <x:cfRule type="expression" dxfId="146" priority="12">
      <x:formula>AND(M10=1,$F10="Pausado")</x:formula>
    </x:cfRule>
    <x:cfRule type="expression" dxfId="147" priority="13">
      <x:formula>AND(M10=1,$F10="")</x:formula>
    </x:cfRule>
  </x:conditionalFormatting>
  <x:conditionalFormatting sqref="K10:K21">
    <x:cfRule type="containsText" dxfId="148" priority="14" operator="containsText" text="Rever datas"/>
    <x:cfRule type="containsText" dxfId="149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AEBBC0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1" customHeight="1">
      <x:c r="A2" s="2"/>
      <x:c r="B2" s="3" t="str">
        <x:v>Qualidade e SGQ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1" customHeight="1">
      <x:c r="A3" s="2"/>
      <x:c r="B3" s="30" t="str">
        <x:v>Exemplo fictício</x:v>
      </x:c>
      <x:c r="C3" s="2"/>
      <x:c r="D3" s="2"/>
      <x:c r="E3" s="2"/>
      <x:c r="F3" s="2"/>
      <x:c r="G3" s="2"/>
      <x:c r="H3" s="2"/>
      <x:c r="I3" s="16" t="str">
        <x:v>Seis meses de organização e revisão</x:v>
      </x:c>
      <x:c r="J3" s="2"/>
      <x:c r="K3" s="2"/>
      <x:c r="L3" s="2"/>
      <x:c r="M3" s="2"/>
      <x:c r="N3" s="2"/>
      <x:c r="O3" s="2"/>
      <x:c r="P3" s="2"/>
      <x:c r="Q3" s="2"/>
      <x:c r="R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1" customHeight="1">
      <x:c r="A5" s="2"/>
      <x:c r="B5" s="2" t="str">
        <x:v>Data-base</x:v>
      </x:c>
      <x:c r="C5" s="19" t="d">
        <x:v>2027-02-01T00:00:00.000Z</x:v>
      </x:c>
      <x:c r="D5" s="2"/>
      <x:c r="E5" s="2"/>
      <x:c r="F5" s="2" t="str">
        <x:v>Data de revisão</x:v>
      </x:c>
      <x:c r="G5" s="19" t="d">
        <x:v>2027-03-01T00:00:00.000Z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Dados e datas fictícios</x:v>
      </x:c>
      <x:c r="K7" s="16"/>
      <x:c r="L7" s="2"/>
      <x:c r="M7" s="2"/>
      <x:c r="N7" s="2"/>
      <x:c r="O7" s="2"/>
      <x:c r="P7" s="2"/>
      <x:c r="Q7" s="2"/>
      <x:c r="R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8" t="n">
        <x:f>IF($C$5="","",EDATE($C$5,0))</x:f>
        <x:v>46419</x:v>
      </x:c>
      <x:c r="N8" s="28" t="n">
        <x:f>IF($C$5="","",EDATE($C$5,1))</x:f>
        <x:v>46447</x:v>
      </x:c>
      <x:c r="O8" s="28" t="n">
        <x:f>IF($C$5="","",EDATE($C$5,2))</x:f>
        <x:v>46478</x:v>
      </x:c>
      <x:c r="P8" s="28" t="n">
        <x:f>IF($C$5="","",EDATE($C$5,3))</x:f>
        <x:v>46508</x:v>
      </x:c>
      <x:c r="Q8" s="28" t="n">
        <x:f>IF($C$5="","",EDATE($C$5,4))</x:f>
        <x:v>46539</x:v>
      </x:c>
      <x:c r="R8" s="28" t="n">
        <x:f>IF($C$5="","",EDATE($C$5,5))</x:f>
        <x:v>46569</x:v>
      </x:c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Início</x:v>
      </x:c>
      <x:c r="E9" s="8" t="str">
        <x:v>Fim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M1</x:v>
      </x:c>
      <x:c r="N9" s="8" t="str">
        <x:v>M2</x:v>
      </x:c>
      <x:c r="O9" s="8" t="str">
        <x:v>M3</x:v>
      </x:c>
      <x:c r="P9" s="8" t="str">
        <x:v>M4</x:v>
      </x:c>
      <x:c r="Q9" s="8" t="str">
        <x:v>M5</x:v>
      </x:c>
      <x:c r="R9" s="8" t="str">
        <x:v>M6</x:v>
      </x:c>
    </x:row>
    <x:row r="10" ht="43" customHeight="1">
      <x:c r="A10" s="2"/>
      <x:c r="B10" s="20" t="str">
        <x:v>Q01 - Diagnosticar documentos</x:v>
      </x:c>
      <x:c r="C10" s="20" t="str">
        <x:v>Qualidade</x:v>
      </x:c>
      <x:c r="D10" s="23" t="d">
        <x:v>2027-02-01T00:00:00.000Z</x:v>
      </x:c>
      <x:c r="E10" s="23" t="d">
        <x:v>2027-02-28T00:00:00.000Z</x:v>
      </x:c>
      <x:c r="F10" s="22" t="str">
        <x:v>Concluído</x:v>
      </x:c>
      <x:c r="G10" s="22" t="str">
        <x:v>Alta</x:v>
      </x:c>
      <x:c r="H10" s="20" t="str"/>
      <x:c r="I10" s="20" t="str">
        <x:v>Documentação inventariada</x:v>
      </x:c>
      <x:c r="J10" s="20" t="str">
        <x:v>Lista de documentos revisada</x:v>
      </x:c>
      <x:c r="K10" s="13" t="str">
        <x:f>IF(B10="","",IF(OR(D10="",E10=""),"Completar datas",IF(E10&lt;D10,"Rever datas",IF(AND(ISNUMBER($G$5),E10&lt;$G$5,F10&lt;&gt;"Concluído"),"Revisar prazo",""))))</x:f>
      </x:c>
      <x:c r="L10" s="2"/>
      <x:c r="M10" s="25" t="n">
        <x:f>IF(OR($B10="",$D10="",$E10="",M$8=""),"",IF(AND($E10&gt;=$D10,$D10&lt;=EDATE(M$8,1)-1,$E10&gt;=M$8),1,""))</x:f>
        <x:v>1</x:v>
      </x:c>
      <x:c r="N10" s="25" t="str">
        <x:f>IF(OR($B10="",$D10="",$E10="",N$8=""),"",IF(AND($E10&gt;=$D10,$D10&lt;=EDATE(N$8,1)-1,$E10&gt;=N$8),1,""))</x:f>
      </x:c>
      <x:c r="O10" s="25" t="str">
        <x:f>IF(OR($B10="",$D10="",$E10="",O$8=""),"",IF(AND($E10&gt;=$D10,$D10&lt;=EDATE(O$8,1)-1,$E10&gt;=O$8),1,""))</x:f>
      </x:c>
      <x:c r="P10" s="25" t="str">
        <x:f>IF(OR($B10="",$D10="",$E10="",P$8=""),"",IF(AND($E10&gt;=$D10,$D10&lt;=EDATE(P$8,1)-1,$E10&gt;=P$8),1,""))</x:f>
      </x:c>
      <x:c r="Q10" s="25" t="str">
        <x:f>IF(OR($B10="",$D10="",$E10="",Q$8=""),"",IF(AND($E10&gt;=$D10,$D10&lt;=EDATE(Q$8,1)-1,$E10&gt;=Q$8),1,""))</x:f>
      </x:c>
      <x:c r="R10" s="25" t="str">
        <x:f>IF(OR($B10="",$D10="",$E10="",R$8=""),"",IF(AND($E10&gt;=$D10,$D10&lt;=EDATE(R$8,1)-1,$E10&gt;=R$8),1,""))</x:f>
      </x:c>
    </x:row>
    <x:row r="11" ht="43" customHeight="1">
      <x:c r="A11" s="2"/>
      <x:c r="B11" s="20" t="str">
        <x:v>Q02 - Padronizar identificadores</x:v>
      </x:c>
      <x:c r="C11" s="20" t="str">
        <x:v>Qualidade e áreas</x:v>
      </x:c>
      <x:c r="D11" s="23" t="d">
        <x:v>2027-03-01T00:00:00.000Z</x:v>
      </x:c>
      <x:c r="E11" s="23" t="d">
        <x:v>2027-03-31T00:00:00.000Z</x:v>
      </x:c>
      <x:c r="F11" s="22" t="str">
        <x:v>Em andamento</x:v>
      </x:c>
      <x:c r="G11" s="22" t="str">
        <x:v>Alta</x:v>
      </x:c>
      <x:c r="H11" s="20" t="str">
        <x:v>Q01</x:v>
      </x:c>
      <x:c r="I11" s="20" t="str">
        <x:v>Referências consistentes</x:v>
      </x:c>
      <x:c r="J11" s="20" t="str">
        <x:v>Regras de identificação aprovadas</x:v>
      </x:c>
      <x:c r="K11" s="13" t="str">
        <x:f>IF(B11="","",IF(OR(D11="",E11=""),"Completar datas",IF(E11&lt;D11,"Rever datas",IF(AND(ISNUMBER($G$5),E11&lt;$G$5,F11&lt;&gt;"Concluído"),"Revisar prazo",""))))</x:f>
      </x:c>
      <x:c r="L11" s="2"/>
      <x:c r="M11" s="25" t="str">
        <x:f>IF(OR($B11="",$D11="",$E11="",M$8=""),"",IF(AND($E11&gt;=$D11,$D11&lt;=EDATE(M$8,1)-1,$E11&gt;=M$8),1,""))</x:f>
      </x:c>
      <x:c r="N11" s="25" t="n">
        <x:f>IF(OR($B11="",$D11="",$E11="",N$8=""),"",IF(AND($E11&gt;=$D11,$D11&lt;=EDATE(N$8,1)-1,$E11&gt;=N$8),1,""))</x:f>
        <x:v>1</x:v>
      </x:c>
      <x:c r="O11" s="25" t="str">
        <x:f>IF(OR($B11="",$D11="",$E11="",O$8=""),"",IF(AND($E11&gt;=$D11,$D11&lt;=EDATE(O$8,1)-1,$E11&gt;=O$8),1,""))</x:f>
      </x:c>
      <x:c r="P11" s="25" t="str">
        <x:f>IF(OR($B11="",$D11="",$E11="",P$8=""),"",IF(AND($E11&gt;=$D11,$D11&lt;=EDATE(P$8,1)-1,$E11&gt;=P$8),1,""))</x:f>
      </x:c>
      <x:c r="Q11" s="25" t="str">
        <x:f>IF(OR($B11="",$D11="",$E11="",Q$8=""),"",IF(AND($E11&gt;=$D11,$D11&lt;=EDATE(Q$8,1)-1,$E11&gt;=Q$8),1,""))</x:f>
      </x:c>
      <x:c r="R11" s="25" t="str">
        <x:f>IF(OR($B11="",$D11="",$E11="",R$8=""),"",IF(AND($E11&gt;=$D11,$D11&lt;=EDATE(R$8,1)-1,$E11&gt;=R$8),1,""))</x:f>
      </x:c>
    </x:row>
    <x:row r="12" ht="43" customHeight="1">
      <x:c r="A12" s="2"/>
      <x:c r="B12" s="20" t="str">
        <x:v>Q03 - Revisar POPs e controles</x:v>
      </x:c>
      <x:c r="C12" s="20" t="str">
        <x:v>Áreas responsáveis</x:v>
      </x:c>
      <x:c r="D12" s="23" t="d">
        <x:v>2027-04-01T00:00:00.000Z</x:v>
      </x:c>
      <x:c r="E12" s="23" t="d">
        <x:v>2027-05-15T00:00:00.000Z</x:v>
      </x:c>
      <x:c r="F12" s="22" t="str">
        <x:v>A fazer</x:v>
      </x:c>
      <x:c r="G12" s="22" t="str">
        <x:v>Alta</x:v>
      </x:c>
      <x:c r="H12" s="20" t="str">
        <x:v>Q02</x:v>
      </x:c>
      <x:c r="I12" s="20" t="str">
        <x:v>Rotinas documentadas</x:v>
      </x:c>
      <x:c r="J12" s="20" t="str">
        <x:v>Conteúdo e responsáveis revisados</x:v>
      </x:c>
      <x:c r="K12" s="13" t="str">
        <x:f>IF(B12="","",IF(OR(D12="",E12=""),"Completar datas",IF(E12&lt;D12,"Rever datas",IF(AND(ISNUMBER($G$5),E12&lt;$G$5,F12&lt;&gt;"Concluído"),"Revisar prazo",""))))</x:f>
      </x:c>
      <x:c r="L12" s="2"/>
      <x:c r="M12" s="25" t="str">
        <x:f>IF(OR($B12="",$D12="",$E12="",M$8=""),"",IF(AND($E12&gt;=$D12,$D12&lt;=EDATE(M$8,1)-1,$E12&gt;=M$8),1,""))</x:f>
      </x:c>
      <x:c r="N12" s="25" t="str">
        <x:f>IF(OR($B12="",$D12="",$E12="",N$8=""),"",IF(AND($E12&gt;=$D12,$D12&lt;=EDATE(N$8,1)-1,$E12&gt;=N$8),1,""))</x:f>
      </x:c>
      <x:c r="O12" s="25" t="n">
        <x:f>IF(OR($B12="",$D12="",$E12="",O$8=""),"",IF(AND($E12&gt;=$D12,$D12&lt;=EDATE(O$8,1)-1,$E12&gt;=O$8),1,""))</x:f>
        <x:v>1</x:v>
      </x:c>
      <x:c r="P12" s="25" t="n">
        <x:f>IF(OR($B12="",$D12="",$E12="",P$8=""),"",IF(AND($E12&gt;=$D12,$D12&lt;=EDATE(P$8,1)-1,$E12&gt;=P$8),1,""))</x:f>
        <x:v>1</x:v>
      </x:c>
      <x:c r="Q12" s="25" t="str">
        <x:f>IF(OR($B12="",$D12="",$E12="",Q$8=""),"",IF(AND($E12&gt;=$D12,$D12&lt;=EDATE(Q$8,1)-1,$E12&gt;=Q$8),1,""))</x:f>
      </x:c>
      <x:c r="R12" s="25" t="str">
        <x:f>IF(OR($B12="",$D12="",$E12="",R$8=""),"",IF(AND($E12&gt;=$D12,$D12&lt;=EDATE(R$8,1)-1,$E12&gt;=R$8),1,""))</x:f>
      </x:c>
    </x:row>
    <x:row r="13" ht="43" customHeight="1">
      <x:c r="A13" s="2"/>
      <x:c r="B13" s="20" t="str">
        <x:v>Q04 - Simular uma revisão interna</x:v>
      </x:c>
      <x:c r="C13" s="20" t="str">
        <x:v>Equipe de revisão</x:v>
      </x:c>
      <x:c r="D13" s="23" t="d">
        <x:v>2027-06-01T00:00:00.000Z</x:v>
      </x:c>
      <x:c r="E13" s="23" t="d">
        <x:v>2027-06-30T00:00:00.000Z</x:v>
      </x:c>
      <x:c r="F13" s="22" t="str">
        <x:v>A fazer</x:v>
      </x:c>
      <x:c r="G13" s="22" t="str">
        <x:v>Média</x:v>
      </x:c>
      <x:c r="H13" s="20" t="str">
        <x:v>Q03</x:v>
      </x:c>
      <x:c r="I13" s="20" t="str">
        <x:v>Oportunidades identificadas</x:v>
      </x:c>
      <x:c r="J13" s="20" t="str">
        <x:v>Observações e evidências registradas</x:v>
      </x:c>
      <x:c r="K13" s="13" t="str">
        <x:f>IF(B13="","",IF(OR(D13="",E13=""),"Completar datas",IF(E13&lt;D13,"Rever datas",IF(AND(ISNUMBER($G$5),E13&lt;$G$5,F13&lt;&gt;"Concluído"),"Revisar prazo",""))))</x:f>
      </x:c>
      <x:c r="L13" s="2"/>
      <x:c r="M13" s="25" t="str">
        <x:f>IF(OR($B13="",$D13="",$E13="",M$8=""),"",IF(AND($E13&gt;=$D13,$D13&lt;=EDATE(M$8,1)-1,$E13&gt;=M$8),1,""))</x:f>
      </x:c>
      <x:c r="N13" s="25" t="str">
        <x:f>IF(OR($B13="",$D13="",$E13="",N$8=""),"",IF(AND($E13&gt;=$D13,$D13&lt;=EDATE(N$8,1)-1,$E13&gt;=N$8),1,""))</x:f>
      </x:c>
      <x:c r="O13" s="25" t="str">
        <x:f>IF(OR($B13="",$D13="",$E13="",O$8=""),"",IF(AND($E13&gt;=$D13,$D13&lt;=EDATE(O$8,1)-1,$E13&gt;=O$8),1,""))</x:f>
      </x:c>
      <x:c r="P13" s="25" t="str">
        <x:f>IF(OR($B13="",$D13="",$E13="",P$8=""),"",IF(AND($E13&gt;=$D13,$D13&lt;=EDATE(P$8,1)-1,$E13&gt;=P$8),1,""))</x:f>
      </x:c>
      <x:c r="Q13" s="25" t="n">
        <x:f>IF(OR($B13="",$D13="",$E13="",Q$8=""),"",IF(AND($E13&gt;=$D13,$D13&lt;=EDATE(Q$8,1)-1,$E13&gt;=Q$8),1,""))</x:f>
        <x:v>1</x:v>
      </x:c>
      <x:c r="R13" s="25" t="str">
        <x:f>IF(OR($B13="",$D13="",$E13="",R$8=""),"",IF(AND($E13&gt;=$D13,$D13&lt;=EDATE(R$8,1)-1,$E13&gt;=R$8),1,""))</x:f>
      </x:c>
    </x:row>
    <x:row r="14" ht="43" customHeight="1">
      <x:c r="A14" s="2"/>
      <x:c r="B14" s="20" t="str">
        <x:v>Q05 - Acompanhar melhorias</x:v>
      </x:c>
      <x:c r="C14" s="20" t="str">
        <x:v>Qualidade e áreas</x:v>
      </x:c>
      <x:c r="D14" s="23" t="d">
        <x:v>2027-07-01T00:00:00.000Z</x:v>
      </x:c>
      <x:c r="E14" s="23" t="d">
        <x:v>2027-07-31T00:00:00.000Z</x:v>
      </x:c>
      <x:c r="F14" s="22" t="str">
        <x:v>A fazer</x:v>
      </x:c>
      <x:c r="G14" s="22" t="str">
        <x:v>Média</x:v>
      </x:c>
      <x:c r="H14" s="20" t="str">
        <x:v>Q04</x:v>
      </x:c>
      <x:c r="I14" s="20" t="str">
        <x:v>Ações acompanhadas</x:v>
      </x:c>
      <x:c r="J14" s="20" t="str">
        <x:v>Ações com responsáveis e prazos</x:v>
      </x:c>
      <x:c r="K14" s="13" t="str">
        <x:f>IF(B14="","",IF(OR(D14="",E14=""),"Completar datas",IF(E14&lt;D14,"Rever datas",IF(AND(ISNUMBER($G$5),E14&lt;$G$5,F14&lt;&gt;"Concluído"),"Revisar prazo",""))))</x:f>
      </x:c>
      <x:c r="L14" s="2"/>
      <x:c r="M14" s="25" t="str">
        <x:f>IF(OR($B14="",$D14="",$E14="",M$8=""),"",IF(AND($E14&gt;=$D14,$D14&lt;=EDATE(M$8,1)-1,$E14&gt;=M$8),1,""))</x:f>
      </x:c>
      <x:c r="N14" s="25" t="str">
        <x:f>IF(OR($B14="",$D14="",$E14="",N$8=""),"",IF(AND($E14&gt;=$D14,$D14&lt;=EDATE(N$8,1)-1,$E14&gt;=N$8),1,""))</x:f>
      </x:c>
      <x:c r="O14" s="25" t="str">
        <x:f>IF(OR($B14="",$D14="",$E14="",O$8=""),"",IF(AND($E14&gt;=$D14,$D14&lt;=EDATE(O$8,1)-1,$E14&gt;=O$8),1,""))</x:f>
      </x:c>
      <x:c r="P14" s="25" t="str">
        <x:f>IF(OR($B14="",$D14="",$E14="",P$8=""),"",IF(AND($E14&gt;=$D14,$D14&lt;=EDATE(P$8,1)-1,$E14&gt;=P$8),1,""))</x:f>
      </x:c>
      <x:c r="Q14" s="25" t="str">
        <x:f>IF(OR($B14="",$D14="",$E14="",Q$8=""),"",IF(AND($E14&gt;=$D14,$D14&lt;=EDATE(Q$8,1)-1,$E14&gt;=Q$8),1,""))</x:f>
      </x:c>
      <x:c r="R14" s="25" t="n">
        <x:f>IF(OR($B14="",$D14="",$E14="",R$8=""),"",IF(AND($E14&gt;=$D14,$D14&lt;=EDATE(R$8,1)-1,$E14&gt;=R$8),1,""))</x:f>
        <x:v>1</x:v>
      </x:c>
    </x:row>
    <x:row r="15" ht="43" customHeight="1">
      <x:c r="A15" s="2"/>
      <x:c r="B15" s="20"/>
      <x:c r="C15" s="20"/>
      <x:c r="D15" s="23"/>
      <x:c r="E15" s="23"/>
      <x:c r="F15" s="22"/>
      <x:c r="G15" s="22"/>
      <x:c r="H15" s="20"/>
      <x:c r="I15" s="20"/>
      <x:c r="J15" s="20"/>
      <x:c r="K15" s="13" t="str">
        <x:f>IF(B15="","",IF(OR(D15="",E15=""),"Completar datas",IF(E15&lt;D15,"Rever datas",IF(AND(ISNUMBER($G$5),E15&lt;$G$5,F15&lt;&gt;"Concluído"),"Revisar prazo",""))))</x:f>
      </x:c>
      <x:c r="L15" s="2"/>
      <x:c r="M15" s="25" t="str">
        <x:f>IF(OR($B15="",$D15="",$E15="",M$8=""),"",IF(AND($E15&gt;=$D15,$D15&lt;=EDATE(M$8,1)-1,$E15&gt;=M$8),1,""))</x:f>
      </x:c>
      <x:c r="N15" s="25" t="str">
        <x:f>IF(OR($B15="",$D15="",$E15="",N$8=""),"",IF(AND($E15&gt;=$D15,$D15&lt;=EDATE(N$8,1)-1,$E15&gt;=N$8),1,""))</x:f>
      </x:c>
      <x:c r="O15" s="25" t="str">
        <x:f>IF(OR($B15="",$D15="",$E15="",O$8=""),"",IF(AND($E15&gt;=$D15,$D15&lt;=EDATE(O$8,1)-1,$E15&gt;=O$8),1,""))</x:f>
      </x:c>
      <x:c r="P15" s="25" t="str">
        <x:f>IF(OR($B15="",$D15="",$E15="",P$8=""),"",IF(AND($E15&gt;=$D15,$D15&lt;=EDATE(P$8,1)-1,$E15&gt;=P$8),1,""))</x:f>
      </x:c>
      <x:c r="Q15" s="25" t="str">
        <x:f>IF(OR($B15="",$D15="",$E15="",Q$8=""),"",IF(AND($E15&gt;=$D15,$D15&lt;=EDATE(Q$8,1)-1,$E15&gt;=Q$8),1,""))</x:f>
      </x:c>
      <x:c r="R15" s="25" t="str">
        <x:f>IF(OR($B15="",$D15="",$E15="",R$8=""),"",IF(AND($E15&gt;=$D15,$D15&lt;=EDATE(R$8,1)-1,$E15&gt;=R$8),1,""))</x:f>
      </x:c>
    </x:row>
    <x:row r="16" ht="43" customHeight="1">
      <x:c r="A16" s="2"/>
      <x:c r="B16" s="20"/>
      <x:c r="C16" s="20"/>
      <x:c r="D16" s="23"/>
      <x:c r="E16" s="23"/>
      <x:c r="F16" s="22"/>
      <x:c r="G16" s="22"/>
      <x:c r="H16" s="20"/>
      <x:c r="I16" s="20"/>
      <x:c r="J16" s="20"/>
      <x:c r="K16" s="13" t="str">
        <x:f>IF(B16="","",IF(OR(D16="",E16=""),"Completar datas",IF(E16&lt;D16,"Rever datas",IF(AND(ISNUMBER($G$5),E16&lt;$G$5,F16&lt;&gt;"Concluído"),"Revisar prazo",""))))</x:f>
      </x:c>
      <x:c r="L16" s="2"/>
      <x:c r="M16" s="25" t="str">
        <x:f>IF(OR($B16="",$D16="",$E16="",M$8=""),"",IF(AND($E16&gt;=$D16,$D16&lt;=EDATE(M$8,1)-1,$E16&gt;=M$8),1,""))</x:f>
      </x:c>
      <x:c r="N16" s="25" t="str">
        <x:f>IF(OR($B16="",$D16="",$E16="",N$8=""),"",IF(AND($E16&gt;=$D16,$D16&lt;=EDATE(N$8,1)-1,$E16&gt;=N$8),1,""))</x:f>
      </x:c>
      <x:c r="O16" s="25" t="str">
        <x:f>IF(OR($B16="",$D16="",$E16="",O$8=""),"",IF(AND($E16&gt;=$D16,$D16&lt;=EDATE(O$8,1)-1,$E16&gt;=O$8),1,""))</x:f>
      </x:c>
      <x:c r="P16" s="25" t="str">
        <x:f>IF(OR($B16="",$D16="",$E16="",P$8=""),"",IF(AND($E16&gt;=$D16,$D16&lt;=EDATE(P$8,1)-1,$E16&gt;=P$8),1,""))</x:f>
      </x:c>
      <x:c r="Q16" s="25" t="str">
        <x:f>IF(OR($B16="",$D16="",$E16="",Q$8=""),"",IF(AND($E16&gt;=$D16,$D16&lt;=EDATE(Q$8,1)-1,$E16&gt;=Q$8),1,""))</x:f>
      </x:c>
      <x:c r="R16" s="25" t="str">
        <x:f>IF(OR($B16="",$D16="",$E16="",R$8=""),"",IF(AND($E16&gt;=$D16,$D16&lt;=EDATE(R$8,1)-1,$E16&gt;=R$8),1,""))</x:f>
      </x:c>
    </x:row>
    <x:row r="17" ht="43" customHeight="1">
      <x:c r="A17" s="2"/>
      <x:c r="B17" s="20"/>
      <x:c r="C17" s="20"/>
      <x:c r="D17" s="23"/>
      <x:c r="E17" s="23"/>
      <x:c r="F17" s="22"/>
      <x:c r="G17" s="22"/>
      <x:c r="H17" s="20"/>
      <x:c r="I17" s="20"/>
      <x:c r="J17" s="20"/>
      <x:c r="K17" s="13" t="str">
        <x:f>IF(B17="","",IF(OR(D17="",E17=""),"Completar datas",IF(E17&lt;D17,"Rever datas",IF(AND(ISNUMBER($G$5),E17&lt;$G$5,F17&lt;&gt;"Concluído"),"Revisar prazo",""))))</x:f>
      </x:c>
      <x:c r="L17" s="2"/>
      <x:c r="M17" s="25" t="str">
        <x:f>IF(OR($B17="",$D17="",$E17="",M$8=""),"",IF(AND($E17&gt;=$D17,$D17&lt;=EDATE(M$8,1)-1,$E17&gt;=M$8),1,""))</x:f>
      </x:c>
      <x:c r="N17" s="25" t="str">
        <x:f>IF(OR($B17="",$D17="",$E17="",N$8=""),"",IF(AND($E17&gt;=$D17,$D17&lt;=EDATE(N$8,1)-1,$E17&gt;=N$8),1,""))</x:f>
      </x:c>
      <x:c r="O17" s="25" t="str">
        <x:f>IF(OR($B17="",$D17="",$E17="",O$8=""),"",IF(AND($E17&gt;=$D17,$D17&lt;=EDATE(O$8,1)-1,$E17&gt;=O$8),1,""))</x:f>
      </x:c>
      <x:c r="P17" s="25" t="str">
        <x:f>IF(OR($B17="",$D17="",$E17="",P$8=""),"",IF(AND($E17&gt;=$D17,$D17&lt;=EDATE(P$8,1)-1,$E17&gt;=P$8),1,""))</x:f>
      </x:c>
      <x:c r="Q17" s="25" t="str">
        <x:f>IF(OR($B17="",$D17="",$E17="",Q$8=""),"",IF(AND($E17&gt;=$D17,$D17&lt;=EDATE(Q$8,1)-1,$E17&gt;=Q$8),1,""))</x:f>
      </x:c>
      <x:c r="R17" s="25" t="str">
        <x:f>IF(OR($B17="",$D17="",$E17="",R$8=""),"",IF(AND($E17&gt;=$D17,$D17&lt;=EDATE(R$8,1)-1,$E17&gt;=R$8),1,""))</x:f>
      </x:c>
    </x:row>
    <x:row r="18" ht="43" customHeight="1">
      <x:c r="A18" s="2"/>
      <x:c r="B18" s="20"/>
      <x:c r="C18" s="20"/>
      <x:c r="D18" s="23"/>
      <x:c r="E18" s="23"/>
      <x:c r="F18" s="22"/>
      <x:c r="G18" s="22"/>
      <x:c r="H18" s="20"/>
      <x:c r="I18" s="20"/>
      <x:c r="J18" s="20"/>
      <x:c r="K18" s="13" t="str">
        <x:f>IF(B18="","",IF(OR(D18="",E18=""),"Completar datas",IF(E18&lt;D18,"Rever datas",IF(AND(ISNUMBER($G$5),E18&lt;$G$5,F18&lt;&gt;"Concluído"),"Revisar prazo",""))))</x:f>
      </x:c>
      <x:c r="L18" s="2"/>
      <x:c r="M18" s="25" t="str">
        <x:f>IF(OR($B18="",$D18="",$E18="",M$8=""),"",IF(AND($E18&gt;=$D18,$D18&lt;=EDATE(M$8,1)-1,$E18&gt;=M$8),1,""))</x:f>
      </x:c>
      <x:c r="N18" s="25" t="str">
        <x:f>IF(OR($B18="",$D18="",$E18="",N$8=""),"",IF(AND($E18&gt;=$D18,$D18&lt;=EDATE(N$8,1)-1,$E18&gt;=N$8),1,""))</x:f>
      </x:c>
      <x:c r="O18" s="25" t="str">
        <x:f>IF(OR($B18="",$D18="",$E18="",O$8=""),"",IF(AND($E18&gt;=$D18,$D18&lt;=EDATE(O$8,1)-1,$E18&gt;=O$8),1,""))</x:f>
      </x:c>
      <x:c r="P18" s="25" t="str">
        <x:f>IF(OR($B18="",$D18="",$E18="",P$8=""),"",IF(AND($E18&gt;=$D18,$D18&lt;=EDATE(P$8,1)-1,$E18&gt;=P$8),1,""))</x:f>
      </x:c>
      <x:c r="Q18" s="25" t="str">
        <x:f>IF(OR($B18="",$D18="",$E18="",Q$8=""),"",IF(AND($E18&gt;=$D18,$D18&lt;=EDATE(Q$8,1)-1,$E18&gt;=Q$8),1,""))</x:f>
      </x:c>
      <x:c r="R18" s="25" t="str">
        <x:f>IF(OR($B18="",$D18="",$E18="",R$8=""),"",IF(AND($E18&gt;=$D18,$D18&lt;=EDATE(R$8,1)-1,$E18&gt;=R$8),1,""))</x:f>
      </x:c>
    </x:row>
    <x:row r="19" ht="43" customHeight="1">
      <x:c r="A19" s="2"/>
      <x:c r="B19" s="20"/>
      <x:c r="C19" s="20"/>
      <x:c r="D19" s="23"/>
      <x:c r="E19" s="23"/>
      <x:c r="F19" s="22"/>
      <x:c r="G19" s="22"/>
      <x:c r="H19" s="20"/>
      <x:c r="I19" s="20"/>
      <x:c r="J19" s="20"/>
      <x:c r="K19" s="13" t="str">
        <x:f>IF(B19="","",IF(OR(D19="",E19=""),"Completar datas",IF(E19&lt;D19,"Rever datas",IF(AND(ISNUMBER($G$5),E19&lt;$G$5,F19&lt;&gt;"Concluído"),"Revisar prazo",""))))</x:f>
      </x:c>
      <x:c r="L19" s="2"/>
      <x:c r="M19" s="25" t="str">
        <x:f>IF(OR($B19="",$D19="",$E19="",M$8=""),"",IF(AND($E19&gt;=$D19,$D19&lt;=EDATE(M$8,1)-1,$E19&gt;=M$8),1,""))</x:f>
      </x:c>
      <x:c r="N19" s="25" t="str">
        <x:f>IF(OR($B19="",$D19="",$E19="",N$8=""),"",IF(AND($E19&gt;=$D19,$D19&lt;=EDATE(N$8,1)-1,$E19&gt;=N$8),1,""))</x:f>
      </x:c>
      <x:c r="O19" s="25" t="str">
        <x:f>IF(OR($B19="",$D19="",$E19="",O$8=""),"",IF(AND($E19&gt;=$D19,$D19&lt;=EDATE(O$8,1)-1,$E19&gt;=O$8),1,""))</x:f>
      </x:c>
      <x:c r="P19" s="25" t="str">
        <x:f>IF(OR($B19="",$D19="",$E19="",P$8=""),"",IF(AND($E19&gt;=$D19,$D19&lt;=EDATE(P$8,1)-1,$E19&gt;=P$8),1,""))</x:f>
      </x:c>
      <x:c r="Q19" s="25" t="str">
        <x:f>IF(OR($B19="",$D19="",$E19="",Q$8=""),"",IF(AND($E19&gt;=$D19,$D19&lt;=EDATE(Q$8,1)-1,$E19&gt;=Q$8),1,""))</x:f>
      </x:c>
      <x:c r="R19" s="25" t="str">
        <x:f>IF(OR($B19="",$D19="",$E19="",R$8=""),"",IF(AND($E19&gt;=$D19,$D19&lt;=EDATE(R$8,1)-1,$E19&gt;=R$8),1,""))</x:f>
      </x:c>
    </x:row>
    <x:row r="20" ht="43" customHeight="1">
      <x:c r="A20" s="2"/>
      <x:c r="B20" s="20"/>
      <x:c r="C20" s="20"/>
      <x:c r="D20" s="23"/>
      <x:c r="E20" s="23"/>
      <x:c r="F20" s="22"/>
      <x:c r="G20" s="22"/>
      <x:c r="H20" s="20"/>
      <x:c r="I20" s="20"/>
      <x:c r="J20" s="20"/>
      <x:c r="K20" s="13" t="str">
        <x:f>IF(B20="","",IF(OR(D20="",E20=""),"Completar datas",IF(E20&lt;D20,"Rever datas",IF(AND(ISNUMBER($G$5),E20&lt;$G$5,F20&lt;&gt;"Concluído"),"Revisar prazo",""))))</x:f>
      </x:c>
      <x:c r="L20" s="2"/>
      <x:c r="M20" s="25" t="str">
        <x:f>IF(OR($B20="",$D20="",$E20="",M$8=""),"",IF(AND($E20&gt;=$D20,$D20&lt;=EDATE(M$8,1)-1,$E20&gt;=M$8),1,""))</x:f>
      </x:c>
      <x:c r="N20" s="25" t="str">
        <x:f>IF(OR($B20="",$D20="",$E20="",N$8=""),"",IF(AND($E20&gt;=$D20,$D20&lt;=EDATE(N$8,1)-1,$E20&gt;=N$8),1,""))</x:f>
      </x:c>
      <x:c r="O20" s="25" t="str">
        <x:f>IF(OR($B20="",$D20="",$E20="",O$8=""),"",IF(AND($E20&gt;=$D20,$D20&lt;=EDATE(O$8,1)-1,$E20&gt;=O$8),1,""))</x:f>
      </x:c>
      <x:c r="P20" s="25" t="str">
        <x:f>IF(OR($B20="",$D20="",$E20="",P$8=""),"",IF(AND($E20&gt;=$D20,$D20&lt;=EDATE(P$8,1)-1,$E20&gt;=P$8),1,""))</x:f>
      </x:c>
      <x:c r="Q20" s="25" t="str">
        <x:f>IF(OR($B20="",$D20="",$E20="",Q$8=""),"",IF(AND($E20&gt;=$D20,$D20&lt;=EDATE(Q$8,1)-1,$E20&gt;=Q$8),1,""))</x:f>
      </x:c>
      <x:c r="R20" s="25" t="str">
        <x:f>IF(OR($B20="",$D20="",$E20="",R$8=""),"",IF(AND($E20&gt;=$D20,$D20&lt;=EDATE(R$8,1)-1,$E20&gt;=R$8),1,""))</x:f>
      </x:c>
    </x:row>
    <x:row r="21" ht="43" customHeight="1">
      <x:c r="A21" s="2"/>
      <x:c r="B21" s="20"/>
      <x:c r="C21" s="20"/>
      <x:c r="D21" s="23"/>
      <x:c r="E21" s="23"/>
      <x:c r="F21" s="22"/>
      <x:c r="G21" s="22"/>
      <x:c r="H21" s="20"/>
      <x:c r="I21" s="20"/>
      <x:c r="J21" s="20"/>
      <x:c r="K21" s="13" t="str">
        <x:f>IF(B21="","",IF(OR(D21="",E21=""),"Completar datas",IF(E21&lt;D21,"Rever datas",IF(AND(ISNUMBER($G$5),E21&lt;$G$5,F21&lt;&gt;"Concluído"),"Revisar prazo",""))))</x:f>
      </x:c>
      <x:c r="L21" s="2"/>
      <x:c r="M21" s="25" t="str">
        <x:f>IF(OR($B21="",$D21="",$E21="",M$8=""),"",IF(AND($E21&gt;=$D21,$D21&lt;=EDATE(M$8,1)-1,$E21&gt;=M$8),1,""))</x:f>
      </x:c>
      <x:c r="N21" s="25" t="str">
        <x:f>IF(OR($B21="",$D21="",$E21="",N$8=""),"",IF(AND($E21&gt;=$D21,$D21&lt;=EDATE(N$8,1)-1,$E21&gt;=N$8),1,""))</x:f>
      </x:c>
      <x:c r="O21" s="25" t="str">
        <x:f>IF(OR($B21="",$D21="",$E21="",O$8=""),"",IF(AND($E21&gt;=$D21,$D21&lt;=EDATE(O$8,1)-1,$E21&gt;=O$8),1,""))</x:f>
      </x:c>
      <x:c r="P21" s="25" t="str">
        <x:f>IF(OR($B21="",$D21="",$E21="",P$8=""),"",IF(AND($E21&gt;=$D21,$D21&lt;=EDATE(P$8,1)-1,$E21&gt;=P$8),1,""))</x:f>
      </x:c>
      <x:c r="Q21" s="25" t="str">
        <x:f>IF(OR($B21="",$D21="",$E21="",Q$8=""),"",IF(AND($E21&gt;=$D21,$D21&lt;=EDATE(Q$8,1)-1,$E21&gt;=Q$8),1,""))</x:f>
      </x:c>
      <x:c r="R21" s="25" t="str">
        <x:f>IF(OR($B21="",$D21="",$E21="",R$8=""),"",IF(AND($E21&gt;=$D21,$D21&lt;=EDATE(R$8,1)-1,$E21&gt;=R$8),1,""))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21" customHeight="1">
      <x:c r="A25" s="2"/>
      <x:c r="B25" s="16" t="str">
        <x:v>1. Defina a data-base e a data de revisão.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 ht="21" customHeight="1">
      <x:c r="A26" s="2"/>
      <x:c r="B26" s="16" t="str">
        <x:v>2. Preencha entregas, datas e responsáveis.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21" customHeight="1">
      <x:c r="A27" s="2"/>
      <x:c r="B27" s="16" t="str">
        <x:v>3. Atualize status e critérios de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21" customHeight="1">
      <x:c r="A28" s="2"/>
      <x:c r="B28" s="16" t="str">
        <x:v>Dependências não reagendam outras entregas.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</x:sheetData>
  <x:conditionalFormatting sqref="F10:F21">
    <x:cfRule type="expression" dxfId="150" priority="1">
      <x:formula>$F10="A fazer"</x:formula>
    </x:cfRule>
    <x:cfRule type="expression" dxfId="152" priority="3">
      <x:formula>$F10="Em andamento"</x:formula>
    </x:cfRule>
    <x:cfRule type="expression" dxfId="154" priority="5">
      <x:formula>$F10="Em validação"</x:formula>
    </x:cfRule>
    <x:cfRule type="expression" dxfId="156" priority="7">
      <x:formula>$F10="Concluído"</x:formula>
    </x:cfRule>
    <x:cfRule type="expression" dxfId="158" priority="9">
      <x:formula>$F10="Bloqueado"</x:formula>
    </x:cfRule>
    <x:cfRule type="expression" dxfId="160" priority="11">
      <x:formula>$F10="Pausado"</x:formula>
    </x:cfRule>
  </x:conditionalFormatting>
  <x:conditionalFormatting sqref="M10:R21">
    <x:cfRule type="expression" dxfId="151" priority="2">
      <x:formula>AND(M10=1,$F10="A fazer")</x:formula>
    </x:cfRule>
    <x:cfRule type="expression" dxfId="153" priority="4">
      <x:formula>AND(M10=1,$F10="Em andamento")</x:formula>
    </x:cfRule>
    <x:cfRule type="expression" dxfId="155" priority="6">
      <x:formula>AND(M10=1,$F10="Em validação")</x:formula>
    </x:cfRule>
    <x:cfRule type="expression" dxfId="157" priority="8">
      <x:formula>AND(M10=1,$F10="Concluído")</x:formula>
    </x:cfRule>
    <x:cfRule type="expression" dxfId="159" priority="10">
      <x:formula>AND(M10=1,$F10="Bloqueado")</x:formula>
    </x:cfRule>
    <x:cfRule type="expression" dxfId="161" priority="12">
      <x:formula>AND(M10=1,$F10="Pausado")</x:formula>
    </x:cfRule>
    <x:cfRule type="expression" dxfId="162" priority="13">
      <x:formula>AND(M10=1,$F10="")</x:formula>
    </x:cfRule>
  </x:conditionalFormatting>
  <x:conditionalFormatting sqref="K10:K21">
    <x:cfRule type="containsText" dxfId="163" priority="14" operator="containsText" text="Rever datas"/>
    <x:cfRule type="containsText" dxfId="164" priority="15" operator="containsText" text="Revisar"/>
  </x:conditionalFormatting>
  <x:dataValidations count="2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AEBBC0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.2200000286102295" hidden="0" customWidth="1"/>
    <x:col min="2" max="2" width="27.219999313354492" hidden="0" customWidth="1"/>
    <x:col min="3" max="3" width="15" hidden="0" customWidth="1"/>
    <x:col min="4" max="4" width="11.779999732971191" hidden="0" customWidth="1"/>
    <x:col min="5" max="5" width="11.779999732971191" hidden="0" customWidth="1"/>
    <x:col min="6" max="6" width="15" hidden="0" customWidth="1"/>
    <x:col min="7" max="7" width="11.779999732971191" hidden="0" customWidth="1"/>
    <x:col min="8" max="8" width="12.779999732971191" hidden="0" customWidth="1"/>
    <x:col min="9" max="9" width="26.110000610351562" hidden="0" customWidth="1"/>
    <x:col min="10" max="10" width="27.219999313354492" hidden="0" customWidth="1"/>
    <x:col min="11" max="11" width="18.329999923706055" hidden="0" customWidth="1"/>
    <x:col min="12" max="12" width="2" hidden="0" customWidth="1"/>
    <x:col min="13" max="13" width="23.329999923706055" hidden="0" customWidth="1"/>
    <x:col min="14" max="14" width="23.329999923706055" hidden="0" customWidth="1"/>
    <x:col min="15" max="15" width="23.329999923706055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1" customHeight="1">
      <x:c r="A2" s="2"/>
      <x:c r="B2" s="3" t="str">
        <x:v>Agora, Depois, Futuro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1" customHeight="1">
      <x:c r="A3" s="2"/>
      <x:c r="B3" s="30" t="str">
        <x:v>Exemplo fictício</x:v>
      </x:c>
      <x:c r="C3" s="2"/>
      <x:c r="D3" s="2"/>
      <x:c r="E3" s="2"/>
      <x:c r="F3" s="2"/>
      <x:c r="G3" s="2"/>
      <x:c r="H3" s="2"/>
      <x:c r="I3" s="16" t="str">
        <x:v>Três horizontes sem prazo fixo</x:v>
      </x:c>
      <x:c r="J3" s="2"/>
      <x:c r="K3" s="2"/>
      <x:c r="L3" s="2"/>
      <x:c r="M3" s="2"/>
      <x:c r="N3" s="2"/>
      <x:c r="O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1" customHeight="1">
      <x:c r="A5" s="2"/>
      <x:c r="B5" s="2" t="str">
        <x:v>Última revisão</x:v>
      </x:c>
      <x:c r="C5" s="19" t="d">
        <x:v>2027-03-01T00:00:00.000Z</x:v>
      </x:c>
      <x:c r="D5" s="2"/>
      <x:c r="E5" s="2"/>
      <x:c r="F5" s="2" t="str">
        <x:v>Próxima revisão</x:v>
      </x:c>
      <x:c r="G5" s="19" t="d">
        <x:v>2027-03-08T00:00:00.000Z</x:v>
      </x:c>
      <x:c r="H5" s="2"/>
      <x:c r="I5" s="2"/>
      <x:c r="J5" s="2"/>
      <x:c r="K5" s="2"/>
      <x:c r="L5" s="2"/>
      <x:c r="M5" s="2"/>
      <x:c r="N5" s="2"/>
      <x:c r="O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1" customHeight="1">
      <x:c r="A7" s="2"/>
      <x:c r="B7" s="16" t="str">
        <x:v>Amarelo: editar</x:v>
      </x:c>
      <x:c r="C7" s="16"/>
      <x:c r="D7" s="16"/>
      <x:c r="E7" s="16"/>
      <x:c r="F7" s="16" t="str">
        <x:v>Cinza: cálculo</x:v>
      </x:c>
      <x:c r="G7" s="16"/>
      <x:c r="H7" s="16"/>
      <x:c r="I7" s="16"/>
      <x:c r="J7" s="16" t="str">
        <x:v>Dados e datas fictícios</x:v>
      </x:c>
      <x:c r="K7" s="16"/>
      <x:c r="L7" s="2"/>
      <x:c r="M7" s="2"/>
      <x:c r="N7" s="2"/>
      <x:c r="O7" s="2"/>
    </x:row>
    <x:row r="8" ht="21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36" customHeight="1">
      <x:c r="A9" s="2"/>
      <x:c r="B9" s="8" t="str">
        <x:v>Entrega ou iniciativa</x:v>
      </x:c>
      <x:c r="C9" s="8" t="str">
        <x:v>Responsável</x:v>
      </x:c>
      <x:c r="D9" s="8" t="str">
        <x:v>Horizonte</x:v>
      </x:c>
      <x:c r="E9" s="8" t="str">
        <x:v>Revisar em</x:v>
      </x:c>
      <x:c r="F9" s="8" t="str">
        <x:v>Status</x:v>
      </x:c>
      <x:c r="G9" s="8" t="str">
        <x:v>Prioridade</x:v>
      </x:c>
      <x:c r="H9" s="8" t="str">
        <x:v>Dependência</x:v>
      </x:c>
      <x:c r="I9" s="8" t="str">
        <x:v>Resultado esperado</x:v>
      </x:c>
      <x:c r="J9" s="8" t="str">
        <x:v>Marco de aceite</x:v>
      </x:c>
      <x:c r="K9" s="8" t="str">
        <x:v>Pendência</x:v>
      </x:c>
      <x:c r="L9" s="2"/>
      <x:c r="M9" s="8" t="str">
        <x:v>Agora</x:v>
      </x:c>
      <x:c r="N9" s="8" t="str">
        <x:v>Depois</x:v>
      </x:c>
      <x:c r="O9" s="8" t="str">
        <x:v>Futuro</x:v>
      </x:c>
    </x:row>
    <x:row r="10" ht="43" customHeight="1">
      <x:c r="A10" s="2"/>
      <x:c r="B10" s="20" t="str">
        <x:v>N01 - Revisar prioridades</x:v>
      </x:c>
      <x:c r="C10" s="20" t="str">
        <x:v>PMO</x:v>
      </x:c>
      <x:c r="D10" s="21" t="str">
        <x:v>Agora</x:v>
      </x:c>
      <x:c r="E10" s="23" t="d">
        <x:v>2027-03-07T00:00:00.000Z</x:v>
      </x:c>
      <x:c r="F10" s="22" t="str">
        <x:v>Em andamento</x:v>
      </x:c>
      <x:c r="G10" s="22" t="str">
        <x:v>Alta</x:v>
      </x:c>
      <x:c r="H10" s="20" t="str"/>
      <x:c r="I10" s="20" t="str">
        <x:v>Prioridades compartilhadas</x:v>
      </x:c>
      <x:c r="J10" s="20" t="str">
        <x:v>Lista revisada com a gestão</x:v>
      </x:c>
      <x:c r="K10" s="13" t="str">
        <x:f>IF(B10="","",IF(D10="","Definir horizonte",IF(E10="","Definir revisão",IF(AND(ISNUMBER($C$5),E10&lt;$C$5,F10&lt;&gt;"Concluído"),"Revisar item",""))))</x:f>
      </x:c>
      <x:c r="L10" s="2"/>
      <x:c r="M10" s="25" t="n">
        <x:f>IF($B10="","",IF($D10=M$9,1,""))</x:f>
        <x:v>1</x:v>
      </x:c>
      <x:c r="N10" s="25" t="str">
        <x:f>IF($B10="","",IF($D10=N$9,1,""))</x:f>
      </x:c>
      <x:c r="O10" s="25" t="str">
        <x:f>IF($B10="","",IF($D10=O$9,1,""))</x:f>
      </x:c>
    </x:row>
    <x:row r="11" ht="43" customHeight="1">
      <x:c r="A11" s="2"/>
      <x:c r="B11" s="20" t="str">
        <x:v>N02 - Consolidar indicadores</x:v>
      </x:c>
      <x:c r="C11" s="20" t="str">
        <x:v>Dados</x:v>
      </x:c>
      <x:c r="D11" s="21" t="str">
        <x:v>Agora</x:v>
      </x:c>
      <x:c r="E11" s="23" t="d">
        <x:v>2027-03-07T00:00:00.000Z</x:v>
      </x:c>
      <x:c r="F11" s="22" t="str">
        <x:v>Em andamento</x:v>
      </x:c>
      <x:c r="G11" s="22" t="str">
        <x:v>Alta</x:v>
      </x:c>
      <x:c r="H11" s="20" t="str"/>
      <x:c r="I11" s="20" t="str">
        <x:v>Leitura gerencial consistente</x:v>
      </x:c>
      <x:c r="J11" s="20" t="str">
        <x:v>Fonte e definição dos indicadores</x:v>
      </x:c>
      <x:c r="K11" s="13" t="str">
        <x:f>IF(B11="","",IF(D11="","Definir horizonte",IF(E11="","Definir revisão",IF(AND(ISNUMBER($C$5),E11&lt;$C$5,F11&lt;&gt;"Concluído"),"Revisar item",""))))</x:f>
      </x:c>
      <x:c r="L11" s="2"/>
      <x:c r="M11" s="25" t="n">
        <x:f>IF($B11="","",IF($D11=M$9,1,""))</x:f>
        <x:v>1</x:v>
      </x:c>
      <x:c r="N11" s="25" t="str">
        <x:f>IF($B11="","",IF($D11=N$9,1,""))</x:f>
      </x:c>
      <x:c r="O11" s="25" t="str">
        <x:f>IF($B11="","",IF($D11=O$9,1,""))</x:f>
      </x:c>
    </x:row>
    <x:row r="12" ht="43" customHeight="1">
      <x:c r="A12" s="2"/>
      <x:c r="B12" s="20" t="str">
        <x:v>N03 - Preparar um piloto UAT</x:v>
      </x:c>
      <x:c r="C12" s="20" t="str">
        <x:v>Negócio e TI</x:v>
      </x:c>
      <x:c r="D12" s="21" t="str">
        <x:v>Depois</x:v>
      </x:c>
      <x:c r="E12" s="23" t="d">
        <x:v>2027-03-15T00:00:00.000Z</x:v>
      </x:c>
      <x:c r="F12" s="22" t="str">
        <x:v>A fazer</x:v>
      </x:c>
      <x:c r="G12" s="22" t="str">
        <x:v>Média</x:v>
      </x:c>
      <x:c r="H12" s="20" t="str">
        <x:v>N01</x:v>
      </x:c>
      <x:c r="I12" s="20" t="str">
        <x:v>Cenário de validação definido</x:v>
      </x:c>
      <x:c r="J12" s="20" t="str">
        <x:v>Casos e participantes definidos</x:v>
      </x:c>
      <x:c r="K12" s="13" t="str">
        <x:f>IF(B12="","",IF(D12="","Definir horizonte",IF(E12="","Definir revisão",IF(AND(ISNUMBER($C$5),E12&lt;$C$5,F12&lt;&gt;"Concluído"),"Revisar item",""))))</x:f>
      </x:c>
      <x:c r="L12" s="2"/>
      <x:c r="M12" s="25" t="str">
        <x:f>IF($B12="","",IF($D12=M$9,1,""))</x:f>
      </x:c>
      <x:c r="N12" s="25" t="n">
        <x:f>IF($B12="","",IF($D12=N$9,1,""))</x:f>
        <x:v>1</x:v>
      </x:c>
      <x:c r="O12" s="25" t="str">
        <x:f>IF($B12="","",IF($D12=O$9,1,""))</x:f>
      </x:c>
    </x:row>
    <x:row r="13" ht="43" customHeight="1">
      <x:c r="A13" s="2"/>
      <x:c r="B13" s="20" t="str">
        <x:v>N04 - Refinar a capacitação</x:v>
      </x:c>
      <x:c r="C13" s="20" t="str">
        <x:v>Desenvolvimento</x:v>
      </x:c>
      <x:c r="D13" s="21" t="str">
        <x:v>Depois</x:v>
      </x:c>
      <x:c r="E13" s="23" t="d">
        <x:v>2027-03-15T00:00:00.000Z</x:v>
      </x:c>
      <x:c r="F13" s="22" t="str">
        <x:v>A fazer</x:v>
      </x:c>
      <x:c r="G13" s="22" t="str">
        <x:v>Média</x:v>
      </x:c>
      <x:c r="H13" s="20" t="str">
        <x:v>N01</x:v>
      </x:c>
      <x:c r="I13" s="20" t="str">
        <x:v>Material de apoio preparado</x:v>
      </x:c>
      <x:c r="J13" s="20" t="str">
        <x:v>Conteúdo revisado</x:v>
      </x:c>
      <x:c r="K13" s="13" t="str">
        <x:f>IF(B13="","",IF(D13="","Definir horizonte",IF(E13="","Definir revisão",IF(AND(ISNUMBER($C$5),E13&lt;$C$5,F13&lt;&gt;"Concluído"),"Revisar item",""))))</x:f>
      </x:c>
      <x:c r="L13" s="2"/>
      <x:c r="M13" s="25" t="str">
        <x:f>IF($B13="","",IF($D13=M$9,1,""))</x:f>
      </x:c>
      <x:c r="N13" s="25" t="n">
        <x:f>IF($B13="","",IF($D13=N$9,1,""))</x:f>
        <x:v>1</x:v>
      </x:c>
      <x:c r="O13" s="25" t="str">
        <x:f>IF($B13="","",IF($D13=O$9,1,""))</x:f>
      </x:c>
    </x:row>
    <x:row r="14" ht="43" customHeight="1">
      <x:c r="A14" s="2"/>
      <x:c r="B14" s="20" t="str">
        <x:v>N05 - Explorar automações</x:v>
      </x:c>
      <x:c r="C14" s="20" t="str">
        <x:v>Processos e TI</x:v>
      </x:c>
      <x:c r="D14" s="21" t="str">
        <x:v>Futuro</x:v>
      </x:c>
      <x:c r="E14" s="23" t="d">
        <x:v>2027-03-31T00:00:00.000Z</x:v>
      </x:c>
      <x:c r="F14" s="22" t="str">
        <x:v>A fazer</x:v>
      </x:c>
      <x:c r="G14" s="22" t="str">
        <x:v>Baixa</x:v>
      </x:c>
      <x:c r="H14" s="20" t="str">
        <x:v>N03</x:v>
      </x:c>
      <x:c r="I14" s="20" t="str">
        <x:v>Oportunidades analisadas</x:v>
      </x:c>
      <x:c r="J14" s="20" t="str">
        <x:v>Viabilidade e próximos passos</x:v>
      </x:c>
      <x:c r="K14" s="13" t="str">
        <x:f>IF(B14="","",IF(D14="","Definir horizonte",IF(E14="","Definir revisão",IF(AND(ISNUMBER($C$5),E14&lt;$C$5,F14&lt;&gt;"Concluído"),"Revisar item",""))))</x:f>
      </x:c>
      <x:c r="L14" s="2"/>
      <x:c r="M14" s="25" t="str">
        <x:f>IF($B14="","",IF($D14=M$9,1,""))</x:f>
      </x:c>
      <x:c r="N14" s="25" t="str">
        <x:f>IF($B14="","",IF($D14=N$9,1,""))</x:f>
      </x:c>
      <x:c r="O14" s="25" t="n">
        <x:f>IF($B14="","",IF($D14=O$9,1,""))</x:f>
        <x:v>1</x:v>
      </x:c>
    </x:row>
    <x:row r="15" ht="43" customHeight="1">
      <x:c r="A15" s="2"/>
      <x:c r="B15" s="20" t="str">
        <x:v>N06 - Ampliar governança de dados</x:v>
      </x:c>
      <x:c r="C15" s="20" t="str">
        <x:v>Governança</x:v>
      </x:c>
      <x:c r="D15" s="21" t="str">
        <x:v>Futuro</x:v>
      </x:c>
      <x:c r="E15" s="23" t="d">
        <x:v>2027-03-31T00:00:00.000Z</x:v>
      </x:c>
      <x:c r="F15" s="22" t="str">
        <x:v>Pausado</x:v>
      </x:c>
      <x:c r="G15" s="22" t="str">
        <x:v>Baixa</x:v>
      </x:c>
      <x:c r="H15" s="20" t="str">
        <x:v>N02</x:v>
      </x:c>
      <x:c r="I15" s="20" t="str">
        <x:v>Responsabilidades organizadas</x:v>
      </x:c>
      <x:c r="J15" s="20" t="str">
        <x:v>Proposta de governança revisada</x:v>
      </x:c>
      <x:c r="K15" s="13" t="str">
        <x:f>IF(B15="","",IF(D15="","Definir horizonte",IF(E15="","Definir revisão",IF(AND(ISNUMBER($C$5),E15&lt;$C$5,F15&lt;&gt;"Concluído"),"Revisar item",""))))</x:f>
      </x:c>
      <x:c r="L15" s="2"/>
      <x:c r="M15" s="25" t="str">
        <x:f>IF($B15="","",IF($D15=M$9,1,""))</x:f>
      </x:c>
      <x:c r="N15" s="25" t="str">
        <x:f>IF($B15="","",IF($D15=N$9,1,""))</x:f>
      </x:c>
      <x:c r="O15" s="25" t="n">
        <x:f>IF($B15="","",IF($D15=O$9,1,""))</x:f>
        <x:v>1</x:v>
      </x:c>
    </x:row>
    <x:row r="16" ht="43" customHeight="1">
      <x:c r="A16" s="2"/>
      <x:c r="B16" s="20"/>
      <x:c r="C16" s="20"/>
      <x:c r="D16" s="21"/>
      <x:c r="E16" s="23"/>
      <x:c r="F16" s="22"/>
      <x:c r="G16" s="22"/>
      <x:c r="H16" s="20"/>
      <x:c r="I16" s="20"/>
      <x:c r="J16" s="20"/>
      <x:c r="K16" s="13" t="str">
        <x:f>IF(B16="","",IF(D16="","Definir horizonte",IF(E16="","Definir revisão",IF(AND(ISNUMBER($C$5),E16&lt;$C$5,F16&lt;&gt;"Concluído"),"Revisar item",""))))</x:f>
      </x:c>
      <x:c r="L16" s="2"/>
      <x:c r="M16" s="25" t="str">
        <x:f>IF($B16="","",IF($D16=M$9,1,""))</x:f>
      </x:c>
      <x:c r="N16" s="25" t="str">
        <x:f>IF($B16="","",IF($D16=N$9,1,""))</x:f>
      </x:c>
      <x:c r="O16" s="25" t="str">
        <x:f>IF($B16="","",IF($D16=O$9,1,""))</x:f>
      </x:c>
    </x:row>
    <x:row r="17" ht="43" customHeight="1">
      <x:c r="A17" s="2"/>
      <x:c r="B17" s="20"/>
      <x:c r="C17" s="20"/>
      <x:c r="D17" s="21"/>
      <x:c r="E17" s="23"/>
      <x:c r="F17" s="22"/>
      <x:c r="G17" s="22"/>
      <x:c r="H17" s="20"/>
      <x:c r="I17" s="20"/>
      <x:c r="J17" s="20"/>
      <x:c r="K17" s="13" t="str">
        <x:f>IF(B17="","",IF(D17="","Definir horizonte",IF(E17="","Definir revisão",IF(AND(ISNUMBER($C$5),E17&lt;$C$5,F17&lt;&gt;"Concluído"),"Revisar item",""))))</x:f>
      </x:c>
      <x:c r="L17" s="2"/>
      <x:c r="M17" s="25" t="str">
        <x:f>IF($B17="","",IF($D17=M$9,1,""))</x:f>
      </x:c>
      <x:c r="N17" s="25" t="str">
        <x:f>IF($B17="","",IF($D17=N$9,1,""))</x:f>
      </x:c>
      <x:c r="O17" s="25" t="str">
        <x:f>IF($B17="","",IF($D17=O$9,1,""))</x:f>
      </x:c>
    </x:row>
    <x:row r="18" ht="43" customHeight="1">
      <x:c r="A18" s="2"/>
      <x:c r="B18" s="20"/>
      <x:c r="C18" s="20"/>
      <x:c r="D18" s="21"/>
      <x:c r="E18" s="23"/>
      <x:c r="F18" s="22"/>
      <x:c r="G18" s="22"/>
      <x:c r="H18" s="20"/>
      <x:c r="I18" s="20"/>
      <x:c r="J18" s="20"/>
      <x:c r="K18" s="13" t="str">
        <x:f>IF(B18="","",IF(D18="","Definir horizonte",IF(E18="","Definir revisão",IF(AND(ISNUMBER($C$5),E18&lt;$C$5,F18&lt;&gt;"Concluído"),"Revisar item",""))))</x:f>
      </x:c>
      <x:c r="L18" s="2"/>
      <x:c r="M18" s="25" t="str">
        <x:f>IF($B18="","",IF($D18=M$9,1,""))</x:f>
      </x:c>
      <x:c r="N18" s="25" t="str">
        <x:f>IF($B18="","",IF($D18=N$9,1,""))</x:f>
      </x:c>
      <x:c r="O18" s="25" t="str">
        <x:f>IF($B18="","",IF($D18=O$9,1,""))</x:f>
      </x:c>
    </x:row>
    <x:row r="19" ht="43" customHeight="1">
      <x:c r="A19" s="2"/>
      <x:c r="B19" s="20"/>
      <x:c r="C19" s="20"/>
      <x:c r="D19" s="21"/>
      <x:c r="E19" s="23"/>
      <x:c r="F19" s="22"/>
      <x:c r="G19" s="22"/>
      <x:c r="H19" s="20"/>
      <x:c r="I19" s="20"/>
      <x:c r="J19" s="20"/>
      <x:c r="K19" s="13" t="str">
        <x:f>IF(B19="","",IF(D19="","Definir horizonte",IF(E19="","Definir revisão",IF(AND(ISNUMBER($C$5),E19&lt;$C$5,F19&lt;&gt;"Concluído"),"Revisar item",""))))</x:f>
      </x:c>
      <x:c r="L19" s="2"/>
      <x:c r="M19" s="25" t="str">
        <x:f>IF($B19="","",IF($D19=M$9,1,""))</x:f>
      </x:c>
      <x:c r="N19" s="25" t="str">
        <x:f>IF($B19="","",IF($D19=N$9,1,""))</x:f>
      </x:c>
      <x:c r="O19" s="25" t="str">
        <x:f>IF($B19="","",IF($D19=O$9,1,""))</x:f>
      </x:c>
    </x:row>
    <x:row r="20" ht="43" customHeight="1">
      <x:c r="A20" s="2"/>
      <x:c r="B20" s="20"/>
      <x:c r="C20" s="20"/>
      <x:c r="D20" s="21"/>
      <x:c r="E20" s="23"/>
      <x:c r="F20" s="22"/>
      <x:c r="G20" s="22"/>
      <x:c r="H20" s="20"/>
      <x:c r="I20" s="20"/>
      <x:c r="J20" s="20"/>
      <x:c r="K20" s="13" t="str">
        <x:f>IF(B20="","",IF(D20="","Definir horizonte",IF(E20="","Definir revisão",IF(AND(ISNUMBER($C$5),E20&lt;$C$5,F20&lt;&gt;"Concluído"),"Revisar item",""))))</x:f>
      </x:c>
      <x:c r="L20" s="2"/>
      <x:c r="M20" s="25" t="str">
        <x:f>IF($B20="","",IF($D20=M$9,1,""))</x:f>
      </x:c>
      <x:c r="N20" s="25" t="str">
        <x:f>IF($B20="","",IF($D20=N$9,1,""))</x:f>
      </x:c>
      <x:c r="O20" s="25" t="str">
        <x:f>IF($B20="","",IF($D20=O$9,1,""))</x:f>
      </x:c>
    </x:row>
    <x:row r="21" ht="43" customHeight="1">
      <x:c r="A21" s="2"/>
      <x:c r="B21" s="20"/>
      <x:c r="C21" s="20"/>
      <x:c r="D21" s="21"/>
      <x:c r="E21" s="23"/>
      <x:c r="F21" s="22"/>
      <x:c r="G21" s="22"/>
      <x:c r="H21" s="20"/>
      <x:c r="I21" s="20"/>
      <x:c r="J21" s="20"/>
      <x:c r="K21" s="13" t="str">
        <x:f>IF(B21="","",IF(D21="","Definir horizonte",IF(E21="","Definir revisão",IF(AND(ISNUMBER($C$5),E21&lt;$C$5,F21&lt;&gt;"Concluído"),"Revisar item",""))))</x:f>
      </x:c>
      <x:c r="L21" s="2"/>
      <x:c r="M21" s="25" t="str">
        <x:f>IF($B21="","",IF($D21=M$9,1,""))</x:f>
      </x:c>
      <x:c r="N21" s="25" t="str">
        <x:f>IF($B21="","",IF($D21=N$9,1,""))</x:f>
      </x:c>
      <x:c r="O21" s="25" t="str">
        <x:f>IF($B21="","",IF($D21=O$9,1,""))</x:f>
      </x:c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1" customHeight="1">
      <x:c r="A24" s="2"/>
      <x:c r="B24" s="29" t="str">
        <x:v>Uso do modelo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1" customHeight="1">
      <x:c r="A25" s="2"/>
      <x:c r="B25" s="16" t="str">
        <x:v>1. Defina a revisão do planejamento.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1" customHeight="1">
      <x:c r="A26" s="2"/>
      <x:c r="B26" s="16" t="str">
        <x:v>2. Escolha Agora, Depois ou Futuro.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1" customHeight="1">
      <x:c r="A27" s="2"/>
      <x:c r="B27" s="16" t="str">
        <x:v>3. Registre responsável, resultado e aceite.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1" customHeight="1">
      <x:c r="A28" s="2"/>
      <x:c r="B28" s="16" t="str">
        <x:v>Horizontes não representam datas prometidas.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</x:sheetData>
  <x:conditionalFormatting sqref="F10:F21">
    <x:cfRule type="expression" dxfId="165" priority="1">
      <x:formula>$F10="A fazer"</x:formula>
    </x:cfRule>
    <x:cfRule type="expression" dxfId="167" priority="3">
      <x:formula>$F10="Em andamento"</x:formula>
    </x:cfRule>
    <x:cfRule type="expression" dxfId="169" priority="5">
      <x:formula>$F10="Em validação"</x:formula>
    </x:cfRule>
    <x:cfRule type="expression" dxfId="171" priority="7">
      <x:formula>$F10="Concluído"</x:formula>
    </x:cfRule>
    <x:cfRule type="expression" dxfId="173" priority="9">
      <x:formula>$F10="Bloqueado"</x:formula>
    </x:cfRule>
    <x:cfRule type="expression" dxfId="175" priority="11">
      <x:formula>$F10="Pausado"</x:formula>
    </x:cfRule>
  </x:conditionalFormatting>
  <x:conditionalFormatting sqref="M10:O21">
    <x:cfRule type="expression" dxfId="166" priority="2">
      <x:formula>AND(M10=1,$F10="A fazer")</x:formula>
    </x:cfRule>
    <x:cfRule type="expression" dxfId="168" priority="4">
      <x:formula>AND(M10=1,$F10="Em andamento")</x:formula>
    </x:cfRule>
    <x:cfRule type="expression" dxfId="170" priority="6">
      <x:formula>AND(M10=1,$F10="Em validação")</x:formula>
    </x:cfRule>
    <x:cfRule type="expression" dxfId="172" priority="8">
      <x:formula>AND(M10=1,$F10="Concluído")</x:formula>
    </x:cfRule>
    <x:cfRule type="expression" dxfId="174" priority="10">
      <x:formula>AND(M10=1,$F10="Bloqueado")</x:formula>
    </x:cfRule>
    <x:cfRule type="expression" dxfId="176" priority="12">
      <x:formula>AND(M10=1,$F10="Pausado")</x:formula>
    </x:cfRule>
    <x:cfRule type="expression" dxfId="177" priority="13">
      <x:formula>AND(M10=1,$F10="")</x:formula>
    </x:cfRule>
  </x:conditionalFormatting>
  <x:conditionalFormatting sqref="K10:K21">
    <x:cfRule type="containsText" dxfId="178" priority="14" operator="containsText" text="Rever datas"/>
    <x:cfRule type="containsText" dxfId="179" priority="15" operator="containsText" text="Revisar"/>
  </x:conditionalFormatting>
  <x:dataValidations count="3">
    <x:dataValidation type="list" sqref="F10:F21">
      <x:formula1>"A fazer,Em andamento,Em validação,Concluído,Bloqueado,Pausado"</x:formula1>
    </x:dataValidation>
    <x:dataValidation type="list" sqref="G10:G21">
      <x:formula1>"Alta,Média,Baixa"</x:formula1>
    </x:dataValidation>
    <x:dataValidation type="list" sqref="D10:D21">
      <x:formula1>"Agora,Depois,Futuro"</x:formula1>
    </x:dataValidation>
  </x:dataValidations>
  <x:pageMargins left="0.7" right="0.7" top="0.75" bottom="0.75" header="0.3" footer="0.3"/>
</x:worksheet>
</file>